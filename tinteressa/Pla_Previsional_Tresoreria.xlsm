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10601DCC-4BE4-45E9-9DF6-C6EBD5AF3BDF}" xr6:coauthVersionLast="46" xr6:coauthVersionMax="46" xr10:uidLastSave="{00000000-0000-0000-0000-000000000000}"/>
  <bookViews>
    <workbookView xWindow="1515" yWindow="495" windowWidth="16590" windowHeight="9885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9" i="9" l="1"/>
  <c r="O79" i="9"/>
  <c r="L79" i="9"/>
  <c r="I79" i="9"/>
  <c r="U76" i="9"/>
  <c r="R76" i="9"/>
  <c r="O76" i="9"/>
  <c r="L76" i="9"/>
  <c r="I76" i="9"/>
  <c r="U73" i="9"/>
  <c r="R73" i="9"/>
  <c r="O73" i="9"/>
  <c r="L73" i="9"/>
  <c r="I73" i="9"/>
  <c r="R43" i="9"/>
  <c r="O43" i="9"/>
  <c r="L43" i="9"/>
  <c r="J43" i="9"/>
  <c r="M43" i="9"/>
  <c r="N43" i="9"/>
  <c r="P43" i="9"/>
  <c r="Q43" i="9"/>
  <c r="S43" i="9"/>
  <c r="T43" i="9"/>
  <c r="J79" i="9"/>
  <c r="K43" i="9"/>
  <c r="E76" i="9"/>
  <c r="C76" i="9"/>
  <c r="E73" i="9"/>
  <c r="C7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E39" i="9"/>
  <c r="E19" i="9"/>
  <c r="E16" i="9"/>
  <c r="C16" i="9"/>
  <c r="E14" i="9"/>
  <c r="C14" i="9"/>
  <c r="K43" i="8"/>
  <c r="N43" i="8"/>
  <c r="Q43" i="8"/>
  <c r="T43" i="8"/>
  <c r="L75" i="9"/>
  <c r="I77" i="9"/>
  <c r="I48" i="9"/>
  <c r="L77" i="9"/>
  <c r="O75" i="9"/>
  <c r="L49" i="9"/>
  <c r="L48" i="9"/>
  <c r="I49" i="9"/>
  <c r="L74" i="9"/>
  <c r="I78" i="9"/>
  <c r="R48" i="9"/>
  <c r="O49" i="9"/>
  <c r="I74" i="9"/>
  <c r="I75" i="9"/>
  <c r="R78" i="9"/>
  <c r="O48" i="9"/>
  <c r="O78" i="9"/>
  <c r="R74" i="9"/>
  <c r="O77" i="9"/>
  <c r="J48" i="9"/>
  <c r="R49" i="9"/>
  <c r="R75" i="9"/>
  <c r="R77" i="9"/>
  <c r="L78" i="9"/>
  <c r="O74" i="9"/>
  <c r="T49" i="9"/>
  <c r="T48" i="9"/>
  <c r="Q49" i="9"/>
  <c r="Q48" i="9"/>
  <c r="N49" i="9"/>
  <c r="N48" i="9"/>
  <c r="K49" i="9"/>
  <c r="K48" i="9"/>
  <c r="U48" i="9" l="1"/>
  <c r="U49" i="9"/>
  <c r="U75" i="9"/>
  <c r="U74" i="9"/>
  <c r="E79" i="9"/>
  <c r="U77" i="9"/>
  <c r="U78" i="9"/>
  <c r="C79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O41" i="8"/>
  <c r="O46" i="8"/>
  <c r="O45" i="8"/>
  <c r="R46" i="8"/>
  <c r="L70" i="8"/>
  <c r="L41" i="8"/>
  <c r="R45" i="8"/>
  <c r="R69" i="8"/>
  <c r="L12" i="8"/>
  <c r="I70" i="8"/>
  <c r="I69" i="8"/>
  <c r="L46" i="8"/>
  <c r="O47" i="8"/>
  <c r="I41" i="8"/>
  <c r="R12" i="8"/>
  <c r="R70" i="8"/>
  <c r="O69" i="8"/>
  <c r="Q69" i="8"/>
  <c r="I44" i="8"/>
  <c r="R47" i="8"/>
  <c r="I47" i="8"/>
  <c r="I45" i="8"/>
  <c r="L69" i="8"/>
  <c r="M69" i="8"/>
  <c r="O70" i="8"/>
  <c r="O12" i="8"/>
  <c r="I12" i="8"/>
  <c r="J70" i="8"/>
  <c r="L47" i="8"/>
  <c r="I46" i="8"/>
  <c r="M47" i="8"/>
  <c r="L45" i="8"/>
  <c r="N69" i="8"/>
  <c r="I70" i="9"/>
  <c r="P48" i="9"/>
  <c r="L34" i="9"/>
  <c r="O62" i="9"/>
  <c r="I35" i="9"/>
  <c r="O70" i="9"/>
  <c r="S49" i="9"/>
  <c r="R29" i="9"/>
  <c r="I67" i="9"/>
  <c r="L40" i="9"/>
  <c r="I21" i="9"/>
  <c r="L57" i="9"/>
  <c r="O28" i="9"/>
  <c r="R69" i="9"/>
  <c r="I44" i="9"/>
  <c r="I23" i="9"/>
  <c r="M49" i="9"/>
  <c r="I27" i="9"/>
  <c r="R41" i="9"/>
  <c r="O25" i="9"/>
  <c r="O44" i="9"/>
  <c r="L30" i="9"/>
  <c r="O65" i="9"/>
  <c r="R35" i="9"/>
  <c r="O47" i="9"/>
  <c r="L66" i="9"/>
  <c r="R42" i="9"/>
  <c r="I22" i="9"/>
  <c r="O56" i="9"/>
  <c r="L31" i="9"/>
  <c r="O67" i="9"/>
  <c r="I40" i="9"/>
  <c r="R22" i="9"/>
  <c r="R58" i="9"/>
  <c r="R33" i="9"/>
  <c r="L69" i="9"/>
  <c r="R47" i="9"/>
  <c r="O34" i="9"/>
  <c r="O40" i="9"/>
  <c r="R30" i="9"/>
  <c r="I65" i="9"/>
  <c r="O42" i="9"/>
  <c r="R27" i="9"/>
  <c r="J49" i="9"/>
  <c r="I36" i="9"/>
  <c r="L56" i="9"/>
  <c r="O59" i="9"/>
  <c r="I30" i="9"/>
  <c r="I31" i="9"/>
  <c r="I46" i="9"/>
  <c r="I47" i="9"/>
  <c r="L28" i="9"/>
  <c r="M28" i="9"/>
  <c r="L20" i="9"/>
  <c r="S48" i="9"/>
  <c r="L65" i="9"/>
  <c r="O38" i="9"/>
  <c r="I24" i="9"/>
  <c r="R57" i="9"/>
  <c r="I29" i="9"/>
  <c r="R67" i="9"/>
  <c r="I42" i="9"/>
  <c r="L22" i="9"/>
  <c r="R56" i="9"/>
  <c r="I38" i="9"/>
  <c r="L46" i="9"/>
  <c r="O33" i="9"/>
  <c r="I64" i="9"/>
  <c r="R37" i="9"/>
  <c r="I69" i="9"/>
  <c r="R46" i="9"/>
  <c r="L29" i="9"/>
  <c r="I62" i="9"/>
  <c r="L36" i="9"/>
  <c r="R66" i="9"/>
  <c r="L41" i="9"/>
  <c r="R25" i="9"/>
  <c r="R55" i="9"/>
  <c r="L27" i="9"/>
  <c r="I66" i="9"/>
  <c r="I41" i="9"/>
  <c r="O32" i="9"/>
  <c r="O61" i="9"/>
  <c r="I37" i="9"/>
  <c r="O46" i="9"/>
  <c r="R28" i="9"/>
  <c r="L62" i="9"/>
  <c r="O36" i="9"/>
  <c r="R45" i="9"/>
  <c r="R34" i="9"/>
  <c r="O64" i="9"/>
  <c r="R21" i="9"/>
  <c r="L45" i="9"/>
  <c r="O21" i="9"/>
  <c r="L23" i="9"/>
  <c r="O55" i="9"/>
  <c r="L64" i="9"/>
  <c r="O57" i="9"/>
  <c r="R70" i="9"/>
  <c r="P49" i="9"/>
  <c r="L25" i="9"/>
  <c r="R36" i="9"/>
  <c r="L33" i="9"/>
  <c r="I58" i="9"/>
  <c r="O27" i="9"/>
  <c r="L70" i="9"/>
  <c r="R44" i="9"/>
  <c r="I32" i="9"/>
  <c r="O58" i="9"/>
  <c r="L37" i="9"/>
  <c r="R20" i="9"/>
  <c r="L47" i="9"/>
  <c r="R32" i="9"/>
  <c r="R64" i="9"/>
  <c r="T64" i="9" s="1"/>
  <c r="L42" i="9"/>
  <c r="O20" i="9"/>
  <c r="I57" i="9"/>
  <c r="I28" i="9"/>
  <c r="R65" i="9"/>
  <c r="O41" i="9"/>
  <c r="I25" i="9"/>
  <c r="I55" i="9"/>
  <c r="O31" i="9"/>
  <c r="I61" i="9"/>
  <c r="R38" i="9"/>
  <c r="O24" i="9"/>
  <c r="I45" i="9"/>
  <c r="O30" i="9"/>
  <c r="R61" i="9"/>
  <c r="L38" i="9"/>
  <c r="L21" i="9"/>
  <c r="R59" i="9"/>
  <c r="I33" i="9"/>
  <c r="O66" i="9"/>
  <c r="O35" i="9"/>
  <c r="R23" i="9"/>
  <c r="I59" i="9"/>
  <c r="I34" i="9"/>
  <c r="L67" i="9"/>
  <c r="R40" i="9"/>
  <c r="L24" i="9"/>
  <c r="L55" i="9"/>
  <c r="L35" i="9"/>
  <c r="R24" i="9"/>
  <c r="L44" i="9"/>
  <c r="O23" i="9"/>
  <c r="L58" i="9"/>
  <c r="O69" i="9"/>
  <c r="I20" i="9"/>
  <c r="R62" i="9"/>
  <c r="R31" i="9"/>
  <c r="O37" i="9"/>
  <c r="M48" i="9"/>
  <c r="O22" i="9"/>
  <c r="O29" i="9"/>
  <c r="L32" i="9"/>
  <c r="L59" i="9"/>
  <c r="O45" i="9"/>
  <c r="L61" i="9"/>
  <c r="I56" i="9"/>
  <c r="J31" i="9"/>
  <c r="L18" i="9"/>
  <c r="I18" i="9"/>
  <c r="O18" i="9"/>
  <c r="R18" i="9"/>
  <c r="R17" i="9"/>
  <c r="I17" i="9"/>
  <c r="L17" i="9"/>
  <c r="O17" i="9"/>
  <c r="L15" i="9"/>
  <c r="I15" i="9"/>
  <c r="O15" i="9"/>
  <c r="R15" i="9"/>
  <c r="O12" i="9"/>
  <c r="I12" i="9"/>
  <c r="L12" i="9"/>
  <c r="R12" i="9"/>
  <c r="L11" i="9"/>
  <c r="O11" i="9"/>
  <c r="R11" i="9"/>
  <c r="I11" i="9"/>
  <c r="L10" i="9"/>
  <c r="O10" i="9"/>
  <c r="I10" i="9"/>
  <c r="R10" i="9"/>
  <c r="L9" i="9"/>
  <c r="O9" i="9"/>
  <c r="R9" i="9"/>
  <c r="I9" i="9"/>
  <c r="L13" i="9"/>
  <c r="I13" i="9"/>
  <c r="R13" i="9"/>
  <c r="O13" i="9"/>
  <c r="U23" i="9" l="1"/>
  <c r="O54" i="9"/>
  <c r="O16" i="9"/>
  <c r="I43" i="9"/>
  <c r="L16" i="9"/>
  <c r="U21" i="9"/>
  <c r="L54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U70" i="8"/>
  <c r="N68" i="8"/>
  <c r="U12" i="8"/>
  <c r="I68" i="8"/>
  <c r="J47" i="8"/>
  <c r="I9" i="8"/>
  <c r="K41" i="8"/>
  <c r="L40" i="8"/>
  <c r="J69" i="8"/>
  <c r="N40" i="8"/>
  <c r="P69" i="8"/>
  <c r="J41" i="8"/>
  <c r="S69" i="8"/>
  <c r="M41" i="8"/>
  <c r="P70" i="8"/>
  <c r="O42" i="8"/>
  <c r="M46" i="8"/>
  <c r="M40" i="8"/>
  <c r="P41" i="8"/>
  <c r="I42" i="8"/>
  <c r="M70" i="8"/>
  <c r="I40" i="8"/>
  <c r="R40" i="8"/>
  <c r="O40" i="8"/>
  <c r="S47" i="8"/>
  <c r="P46" i="8"/>
  <c r="T69" i="8"/>
  <c r="R42" i="8"/>
  <c r="S70" i="8"/>
  <c r="L42" i="8"/>
  <c r="N41" i="8"/>
  <c r="P47" i="8"/>
  <c r="S40" i="8"/>
  <c r="S46" i="8"/>
  <c r="K69" i="8"/>
  <c r="P40" i="8"/>
  <c r="Q41" i="8"/>
  <c r="J46" i="8"/>
  <c r="R41" i="8"/>
  <c r="T42" i="8"/>
  <c r="J28" i="9"/>
  <c r="S41" i="9"/>
  <c r="J66" i="9"/>
  <c r="K42" i="9"/>
  <c r="T29" i="9"/>
  <c r="P24" i="9"/>
  <c r="T67" i="9"/>
  <c r="K33" i="9"/>
  <c r="M61" i="9"/>
  <c r="S37" i="9"/>
  <c r="J62" i="9"/>
  <c r="P38" i="9"/>
  <c r="S28" i="9"/>
  <c r="J34" i="9"/>
  <c r="P67" i="9"/>
  <c r="K38" i="9"/>
  <c r="S34" i="9"/>
  <c r="J46" i="9"/>
  <c r="J70" i="9"/>
  <c r="M56" i="9"/>
  <c r="J32" i="9"/>
  <c r="T27" i="9"/>
  <c r="N66" i="9"/>
  <c r="T42" i="9"/>
  <c r="J30" i="9"/>
  <c r="P21" i="9"/>
  <c r="T65" i="9"/>
  <c r="T28" i="9"/>
  <c r="M40" i="9"/>
  <c r="J69" i="9"/>
  <c r="P47" i="9"/>
  <c r="Q32" i="9"/>
  <c r="P25" i="9"/>
  <c r="K69" i="9"/>
  <c r="Q29" i="9"/>
  <c r="N65" i="9"/>
  <c r="Q37" i="9"/>
  <c r="S32" i="9"/>
  <c r="Q64" i="9"/>
  <c r="P36" i="9"/>
  <c r="N32" i="9"/>
  <c r="M57" i="9"/>
  <c r="S56" i="9"/>
  <c r="M29" i="9"/>
  <c r="J23" i="9"/>
  <c r="P30" i="9"/>
  <c r="M65" i="9"/>
  <c r="S42" i="9"/>
  <c r="Q34" i="9"/>
  <c r="S31" i="9"/>
  <c r="S67" i="9"/>
  <c r="J40" i="9"/>
  <c r="Q30" i="9"/>
  <c r="J24" i="9"/>
  <c r="M66" i="9"/>
  <c r="T37" i="9"/>
  <c r="M42" i="9"/>
  <c r="Q65" i="9"/>
  <c r="Q33" i="9"/>
  <c r="M33" i="9"/>
  <c r="P62" i="9"/>
  <c r="M31" i="9"/>
  <c r="N38" i="9"/>
  <c r="P28" i="9"/>
  <c r="S59" i="9"/>
  <c r="M24" i="9"/>
  <c r="M32" i="9"/>
  <c r="M20" i="9"/>
  <c r="S64" i="9"/>
  <c r="S27" i="9"/>
  <c r="Q66" i="9"/>
  <c r="T33" i="9"/>
  <c r="J47" i="9"/>
  <c r="Q41" i="9"/>
  <c r="N37" i="9"/>
  <c r="J29" i="9"/>
  <c r="K37" i="9"/>
  <c r="M59" i="9"/>
  <c r="J37" i="9"/>
  <c r="S65" i="9"/>
  <c r="K27" i="9"/>
  <c r="T40" i="9"/>
  <c r="J22" i="9"/>
  <c r="N31" i="9"/>
  <c r="J36" i="9"/>
  <c r="P46" i="9"/>
  <c r="J21" i="9"/>
  <c r="T69" i="9"/>
  <c r="M27" i="9"/>
  <c r="S69" i="9"/>
  <c r="M37" i="9"/>
  <c r="N28" i="9"/>
  <c r="M64" i="9"/>
  <c r="T41" i="9"/>
  <c r="P33" i="9"/>
  <c r="S55" i="9"/>
  <c r="S23" i="9"/>
  <c r="J55" i="9"/>
  <c r="P27" i="9"/>
  <c r="S24" i="9"/>
  <c r="N30" i="9"/>
  <c r="S57" i="9"/>
  <c r="P32" i="9"/>
  <c r="P58" i="9"/>
  <c r="M36" i="9"/>
  <c r="P37" i="9"/>
  <c r="M67" i="9"/>
  <c r="N42" i="9"/>
  <c r="Q28" i="9"/>
  <c r="S21" i="9"/>
  <c r="J65" i="9"/>
  <c r="N41" i="9"/>
  <c r="N33" i="9"/>
  <c r="P59" i="9"/>
  <c r="P34" i="9"/>
  <c r="K64" i="9"/>
  <c r="M41" i="9"/>
  <c r="Q27" i="9"/>
  <c r="P61" i="9"/>
  <c r="J57" i="9"/>
  <c r="M34" i="9"/>
  <c r="M25" i="9"/>
  <c r="M58" i="9"/>
  <c r="K30" i="9"/>
  <c r="N40" i="9"/>
  <c r="P64" i="9"/>
  <c r="S38" i="9"/>
  <c r="K66" i="9"/>
  <c r="P70" i="9"/>
  <c r="K31" i="9"/>
  <c r="J56" i="9"/>
  <c r="J38" i="9"/>
  <c r="P22" i="9"/>
  <c r="K41" i="9"/>
  <c r="N69" i="9"/>
  <c r="N67" i="9"/>
  <c r="J41" i="9"/>
  <c r="Q31" i="9"/>
  <c r="M22" i="9"/>
  <c r="P66" i="9"/>
  <c r="M47" i="9"/>
  <c r="K32" i="9"/>
  <c r="J25" i="9"/>
  <c r="K67" i="9"/>
  <c r="S40" i="9"/>
  <c r="P69" i="9"/>
  <c r="S47" i="9"/>
  <c r="J33" i="9"/>
  <c r="P20" i="9"/>
  <c r="S70" i="9"/>
  <c r="S30" i="9"/>
  <c r="P65" i="9"/>
  <c r="Q38" i="9"/>
  <c r="N34" i="9"/>
  <c r="M62" i="9"/>
  <c r="T38" i="9"/>
  <c r="J20" i="9"/>
  <c r="P40" i="9"/>
  <c r="S61" i="9"/>
  <c r="S36" i="9"/>
  <c r="N27" i="9"/>
  <c r="Q42" i="9"/>
  <c r="Q69" i="9"/>
  <c r="S46" i="9"/>
  <c r="N29" i="9"/>
  <c r="M23" i="9"/>
  <c r="M70" i="9"/>
  <c r="J58" i="9"/>
  <c r="T34" i="9"/>
  <c r="P29" i="9"/>
  <c r="K29" i="9"/>
  <c r="K65" i="9"/>
  <c r="K40" i="9"/>
  <c r="T30" i="9"/>
  <c r="J59" i="9"/>
  <c r="S58" i="9"/>
  <c r="S33" i="9"/>
  <c r="S25" i="9"/>
  <c r="K34" i="9"/>
  <c r="P56" i="9"/>
  <c r="T32" i="9"/>
  <c r="S20" i="9"/>
  <c r="M38" i="9"/>
  <c r="S62" i="9"/>
  <c r="M69" i="9"/>
  <c r="P55" i="9"/>
  <c r="K28" i="9"/>
  <c r="Q40" i="9"/>
  <c r="J42" i="9"/>
  <c r="Q67" i="9"/>
  <c r="T31" i="9"/>
  <c r="J67" i="9"/>
  <c r="P57" i="9"/>
  <c r="M55" i="9"/>
  <c r="S22" i="9"/>
  <c r="N64" i="9"/>
  <c r="M30" i="9"/>
  <c r="P42" i="9"/>
  <c r="M21" i="9"/>
  <c r="J64" i="9"/>
  <c r="J27" i="9"/>
  <c r="S66" i="9"/>
  <c r="J61" i="9"/>
  <c r="P41" i="9"/>
  <c r="T66" i="9"/>
  <c r="S29" i="9"/>
  <c r="P23" i="9"/>
  <c r="M46" i="9"/>
  <c r="P31" i="9"/>
  <c r="S18" i="9"/>
  <c r="K18" i="9"/>
  <c r="M18" i="9"/>
  <c r="N18" i="9"/>
  <c r="T18" i="9"/>
  <c r="J18" i="9"/>
  <c r="Q18" i="9"/>
  <c r="P18" i="9"/>
  <c r="P17" i="9"/>
  <c r="N17" i="9"/>
  <c r="T17" i="9"/>
  <c r="K17" i="9"/>
  <c r="S17" i="9"/>
  <c r="J17" i="9"/>
  <c r="Q17" i="9"/>
  <c r="M17" i="9"/>
  <c r="P15" i="9"/>
  <c r="M15" i="9"/>
  <c r="T15" i="9"/>
  <c r="Q15" i="9"/>
  <c r="N15" i="9"/>
  <c r="S15" i="9"/>
  <c r="J15" i="9"/>
  <c r="K15" i="9"/>
  <c r="S13" i="9"/>
  <c r="J13" i="9"/>
  <c r="P13" i="9"/>
  <c r="Q13" i="9"/>
  <c r="T13" i="9"/>
  <c r="N13" i="9"/>
  <c r="M13" i="9"/>
  <c r="K13" i="9"/>
  <c r="Q16" i="9" l="1"/>
  <c r="M43" i="8"/>
  <c r="N68" i="9"/>
  <c r="J14" i="9"/>
  <c r="N8" i="9"/>
  <c r="U43" i="9"/>
  <c r="Q8" i="9"/>
  <c r="K68" i="9"/>
  <c r="Q14" i="9"/>
  <c r="J8" i="9"/>
  <c r="K16" i="9"/>
  <c r="N14" i="9"/>
  <c r="S14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S50" i="9" s="1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54" i="9"/>
  <c r="S26" i="9"/>
  <c r="N19" i="9"/>
  <c r="P54" i="9"/>
  <c r="M19" i="9"/>
  <c r="S63" i="9"/>
  <c r="M68" i="9"/>
  <c r="M8" i="9"/>
  <c r="K68" i="8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2" i="8"/>
  <c r="N42" i="8"/>
  <c r="P42" i="8"/>
  <c r="K42" i="8"/>
  <c r="K40" i="8"/>
  <c r="Q40" i="8"/>
  <c r="S41" i="8"/>
  <c r="J40" i="8"/>
  <c r="J42" i="8"/>
  <c r="T40" i="8"/>
  <c r="M42" i="8"/>
  <c r="Q42" i="8"/>
  <c r="T41" i="8"/>
  <c r="P50" i="9" l="1"/>
  <c r="M50" i="9"/>
  <c r="J50" i="9"/>
  <c r="N50" i="9"/>
  <c r="L85" i="9" s="1"/>
  <c r="Q50" i="9"/>
  <c r="O85" i="9" s="1"/>
  <c r="K50" i="9"/>
  <c r="I85" i="9" s="1"/>
  <c r="T50" i="9"/>
  <c r="R85" i="9" s="1"/>
  <c r="Q79" i="9"/>
  <c r="O86" i="9" s="1"/>
  <c r="I81" i="9"/>
  <c r="L81" i="9" s="1"/>
  <c r="O81" i="9" s="1"/>
  <c r="R81" i="9" s="1"/>
  <c r="U79" i="9"/>
  <c r="P79" i="9"/>
  <c r="U50" i="9"/>
  <c r="N79" i="9"/>
  <c r="L86" i="9" s="1"/>
  <c r="J39" i="8"/>
  <c r="T79" i="9"/>
  <c r="R86" i="9" s="1"/>
  <c r="S39" i="8"/>
  <c r="P39" i="8"/>
  <c r="S79" i="9"/>
  <c r="M79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R18" i="8"/>
  <c r="R67" i="8"/>
  <c r="O36" i="8"/>
  <c r="L22" i="8"/>
  <c r="O61" i="8"/>
  <c r="O35" i="8"/>
  <c r="L33" i="8"/>
  <c r="R37" i="8"/>
  <c r="L29" i="8"/>
  <c r="I30" i="8"/>
  <c r="S18" i="8"/>
  <c r="I29" i="8"/>
  <c r="L10" i="8"/>
  <c r="O10" i="8"/>
  <c r="I66" i="8"/>
  <c r="L9" i="8"/>
  <c r="R27" i="8"/>
  <c r="I35" i="8"/>
  <c r="R65" i="8"/>
  <c r="I31" i="8"/>
  <c r="R59" i="8"/>
  <c r="L59" i="8"/>
  <c r="O31" i="8"/>
  <c r="I24" i="8"/>
  <c r="I37" i="8"/>
  <c r="P31" i="8"/>
  <c r="R32" i="8"/>
  <c r="O34" i="8"/>
  <c r="I32" i="8"/>
  <c r="O17" i="8"/>
  <c r="R38" i="8"/>
  <c r="I25" i="8"/>
  <c r="R9" i="8"/>
  <c r="L37" i="8"/>
  <c r="O55" i="8"/>
  <c r="O56" i="8"/>
  <c r="I62" i="8"/>
  <c r="I55" i="8"/>
  <c r="O15" i="8"/>
  <c r="L34" i="8"/>
  <c r="L62" i="8"/>
  <c r="L36" i="8"/>
  <c r="J29" i="8"/>
  <c r="R57" i="8"/>
  <c r="L31" i="8"/>
  <c r="L55" i="8"/>
  <c r="R56" i="8"/>
  <c r="L13" i="8"/>
  <c r="N34" i="8"/>
  <c r="I36" i="8"/>
  <c r="I13" i="8"/>
  <c r="O57" i="8"/>
  <c r="R28" i="8"/>
  <c r="L58" i="8"/>
  <c r="O27" i="8"/>
  <c r="P27" i="8" s="1"/>
  <c r="R62" i="8"/>
  <c r="O11" i="8"/>
  <c r="J30" i="8"/>
  <c r="I59" i="8"/>
  <c r="L15" i="8"/>
  <c r="L65" i="8"/>
  <c r="R29" i="8"/>
  <c r="O44" i="8"/>
  <c r="I28" i="8"/>
  <c r="I67" i="8"/>
  <c r="O59" i="8"/>
  <c r="L32" i="8"/>
  <c r="O13" i="8"/>
  <c r="L35" i="8"/>
  <c r="I56" i="8"/>
  <c r="I17" i="8"/>
  <c r="K17" i="8" s="1"/>
  <c r="O18" i="8"/>
  <c r="R58" i="8"/>
  <c r="O38" i="8"/>
  <c r="R30" i="8"/>
  <c r="J17" i="8"/>
  <c r="K30" i="8"/>
  <c r="R36" i="8"/>
  <c r="L38" i="8"/>
  <c r="O25" i="8"/>
  <c r="I58" i="8"/>
  <c r="R10" i="8"/>
  <c r="S67" i="8"/>
  <c r="L27" i="8"/>
  <c r="Q13" i="8"/>
  <c r="I57" i="8"/>
  <c r="R21" i="8"/>
  <c r="O64" i="8"/>
  <c r="L25" i="8"/>
  <c r="O66" i="8"/>
  <c r="L18" i="8"/>
  <c r="O30" i="8"/>
  <c r="I15" i="8"/>
  <c r="O62" i="8"/>
  <c r="R11" i="8"/>
  <c r="O21" i="8"/>
  <c r="R25" i="8"/>
  <c r="L30" i="8"/>
  <c r="M30" i="8" s="1"/>
  <c r="Q64" i="8"/>
  <c r="L20" i="8"/>
  <c r="R31" i="8"/>
  <c r="S31" i="8" s="1"/>
  <c r="R23" i="8"/>
  <c r="I64" i="8"/>
  <c r="J64" i="8" s="1"/>
  <c r="S27" i="8"/>
  <c r="R61" i="8"/>
  <c r="S28" i="8"/>
  <c r="N13" i="8"/>
  <c r="K28" i="8"/>
  <c r="L61" i="8"/>
  <c r="L44" i="8"/>
  <c r="O20" i="8"/>
  <c r="R44" i="8"/>
  <c r="M34" i="8"/>
  <c r="I33" i="8"/>
  <c r="O32" i="8"/>
  <c r="R13" i="8"/>
  <c r="R34" i="8"/>
  <c r="S34" i="8" s="1"/>
  <c r="I38" i="8"/>
  <c r="R55" i="8"/>
  <c r="O23" i="8"/>
  <c r="T28" i="8"/>
  <c r="I61" i="8"/>
  <c r="L21" i="8"/>
  <c r="L64" i="8"/>
  <c r="L67" i="8"/>
  <c r="I21" i="8"/>
  <c r="O29" i="8"/>
  <c r="P29" i="8" s="1"/>
  <c r="R35" i="8"/>
  <c r="L24" i="8"/>
  <c r="I11" i="8"/>
  <c r="I20" i="8"/>
  <c r="P57" i="8"/>
  <c r="P13" i="8"/>
  <c r="I27" i="8"/>
  <c r="L56" i="8"/>
  <c r="L28" i="8"/>
  <c r="L17" i="8"/>
  <c r="I10" i="8"/>
  <c r="R66" i="8"/>
  <c r="R22" i="8"/>
  <c r="O67" i="8"/>
  <c r="P67" i="8" s="1"/>
  <c r="R33" i="8"/>
  <c r="I18" i="8"/>
  <c r="Q29" i="8"/>
  <c r="O65" i="8"/>
  <c r="I23" i="8"/>
  <c r="O58" i="8"/>
  <c r="I34" i="8"/>
  <c r="T34" i="8"/>
  <c r="L11" i="8"/>
  <c r="K33" i="8"/>
  <c r="S32" i="8"/>
  <c r="R24" i="8"/>
  <c r="R20" i="8"/>
  <c r="S33" i="8"/>
  <c r="L23" i="8"/>
  <c r="Q21" i="8"/>
  <c r="S23" i="8"/>
  <c r="O22" i="8"/>
  <c r="P22" i="8" s="1"/>
  <c r="O28" i="8"/>
  <c r="R17" i="8"/>
  <c r="L66" i="8"/>
  <c r="S17" i="8"/>
  <c r="R15" i="8"/>
  <c r="O37" i="8"/>
  <c r="R64" i="8"/>
  <c r="T64" i="8" s="1"/>
  <c r="I22" i="8"/>
  <c r="L57" i="8"/>
  <c r="I65" i="8"/>
  <c r="K65" i="8" s="1"/>
  <c r="O24" i="8"/>
  <c r="T13" i="8"/>
  <c r="O33" i="8"/>
  <c r="K22" i="8"/>
  <c r="P18" i="8"/>
  <c r="O9" i="8"/>
  <c r="K29" i="8"/>
  <c r="T23" i="8"/>
  <c r="K67" i="8"/>
  <c r="J67" i="8"/>
  <c r="N67" i="8"/>
  <c r="M67" i="8"/>
  <c r="J27" i="8"/>
  <c r="Q33" i="8"/>
  <c r="P33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T8" i="8"/>
  <c r="Q8" i="8"/>
  <c r="N60" i="8"/>
  <c r="N54" i="8"/>
  <c r="S16" i="8"/>
  <c r="Q60" i="8"/>
  <c r="K54" i="8"/>
  <c r="K60" i="8"/>
  <c r="T54" i="8"/>
  <c r="K27" i="8"/>
  <c r="T29" i="8"/>
  <c r="Q31" i="8"/>
  <c r="M61" i="8"/>
  <c r="N15" i="8"/>
  <c r="K23" i="8"/>
  <c r="M62" i="8"/>
  <c r="Q18" i="8"/>
  <c r="S13" i="8"/>
  <c r="S57" i="8"/>
  <c r="T33" i="8"/>
  <c r="Q27" i="8"/>
  <c r="T25" i="8"/>
  <c r="T32" i="8"/>
  <c r="T24" i="8"/>
  <c r="Q34" i="8"/>
  <c r="J65" i="8"/>
  <c r="N21" i="8"/>
  <c r="S65" i="8"/>
  <c r="Q23" i="8"/>
  <c r="M58" i="8"/>
  <c r="S25" i="8"/>
  <c r="P56" i="8"/>
  <c r="Q32" i="8"/>
  <c r="J61" i="8"/>
  <c r="K20" i="8"/>
  <c r="J66" i="8"/>
  <c r="T22" i="8"/>
  <c r="T20" i="8"/>
  <c r="P59" i="8"/>
  <c r="P34" i="8"/>
  <c r="N65" i="8"/>
  <c r="Q22" i="8"/>
  <c r="K66" i="8"/>
  <c r="M18" i="8"/>
  <c r="J24" i="8"/>
  <c r="M32" i="8"/>
  <c r="N66" i="8"/>
  <c r="T67" i="8"/>
  <c r="N20" i="8"/>
  <c r="P24" i="8"/>
  <c r="P62" i="8"/>
  <c r="J56" i="8"/>
  <c r="M22" i="8"/>
  <c r="M15" i="8"/>
  <c r="K15" i="8"/>
  <c r="J57" i="8"/>
  <c r="P15" i="8"/>
  <c r="N24" i="8"/>
  <c r="K38" i="8"/>
  <c r="M65" i="8"/>
  <c r="J18" i="8"/>
  <c r="J22" i="8"/>
  <c r="J59" i="8"/>
  <c r="T31" i="8"/>
  <c r="Q24" i="8"/>
  <c r="P37" i="8"/>
  <c r="P28" i="8"/>
  <c r="P32" i="8"/>
  <c r="J34" i="8"/>
  <c r="T30" i="8"/>
  <c r="S58" i="8"/>
  <c r="N31" i="8"/>
  <c r="N33" i="8"/>
  <c r="M29" i="8"/>
  <c r="M20" i="8"/>
  <c r="T37" i="8"/>
  <c r="S37" i="8"/>
  <c r="N23" i="8"/>
  <c r="J20" i="8"/>
  <c r="S15" i="8"/>
  <c r="M17" i="8"/>
  <c r="S59" i="8"/>
  <c r="P17" i="8"/>
  <c r="T18" i="8"/>
  <c r="P61" i="8"/>
  <c r="K32" i="8"/>
  <c r="P66" i="8"/>
  <c r="S64" i="8"/>
  <c r="K21" i="8"/>
  <c r="S55" i="8"/>
  <c r="K31" i="8"/>
  <c r="M59" i="8"/>
  <c r="P25" i="8"/>
  <c r="J38" i="8"/>
  <c r="M37" i="8"/>
  <c r="P58" i="8"/>
  <c r="N27" i="8"/>
  <c r="J37" i="8"/>
  <c r="J33" i="8"/>
  <c r="N25" i="8"/>
  <c r="M13" i="8"/>
  <c r="Q15" i="8"/>
  <c r="P38" i="8"/>
  <c r="T65" i="8"/>
  <c r="N64" i="8"/>
  <c r="Q37" i="8"/>
  <c r="P55" i="8"/>
  <c r="M24" i="8"/>
  <c r="K25" i="8"/>
  <c r="M21" i="8"/>
  <c r="M27" i="8"/>
  <c r="Q67" i="8"/>
  <c r="P23" i="8"/>
  <c r="K37" i="8"/>
  <c r="S62" i="8"/>
  <c r="J31" i="8"/>
  <c r="J15" i="8"/>
  <c r="M64" i="8"/>
  <c r="M36" i="8"/>
  <c r="S22" i="8"/>
  <c r="S21" i="8"/>
  <c r="S30" i="8"/>
  <c r="M28" i="8"/>
  <c r="M25" i="8"/>
  <c r="N38" i="8"/>
  <c r="T15" i="8"/>
  <c r="N28" i="8"/>
  <c r="N32" i="8"/>
  <c r="K64" i="8"/>
  <c r="Q25" i="8"/>
  <c r="K13" i="8"/>
  <c r="S36" i="8"/>
  <c r="S29" i="8"/>
  <c r="P21" i="8"/>
  <c r="N29" i="8"/>
  <c r="N22" i="8"/>
  <c r="M38" i="8"/>
  <c r="Q66" i="8"/>
  <c r="M56" i="8"/>
  <c r="T17" i="8"/>
  <c r="K18" i="8"/>
  <c r="J21" i="8"/>
  <c r="J25" i="8"/>
  <c r="T21" i="8"/>
  <c r="J32" i="8"/>
  <c r="P65" i="8"/>
  <c r="P64" i="8"/>
  <c r="S38" i="8"/>
  <c r="N30" i="8"/>
  <c r="M33" i="8"/>
  <c r="M57" i="8"/>
  <c r="S20" i="8"/>
  <c r="J55" i="8"/>
  <c r="P30" i="8"/>
  <c r="J36" i="8"/>
  <c r="Q17" i="8"/>
  <c r="Q20" i="8"/>
  <c r="Q28" i="8"/>
  <c r="N17" i="8"/>
  <c r="J13" i="8"/>
  <c r="K24" i="8"/>
  <c r="T66" i="8"/>
  <c r="Q65" i="8"/>
  <c r="N18" i="8"/>
  <c r="M55" i="8"/>
  <c r="T38" i="8"/>
  <c r="M23" i="8"/>
  <c r="J23" i="8"/>
  <c r="Q38" i="8"/>
  <c r="T27" i="8"/>
  <c r="S24" i="8"/>
  <c r="N37" i="8"/>
  <c r="Q30" i="8"/>
  <c r="J58" i="8"/>
  <c r="S66" i="8"/>
  <c r="J28" i="8"/>
  <c r="M66" i="8"/>
  <c r="P20" i="8"/>
  <c r="K34" i="8"/>
  <c r="M31" i="8"/>
  <c r="J62" i="8"/>
  <c r="S56" i="8"/>
  <c r="P36" i="8"/>
  <c r="S61" i="8"/>
  <c r="M8" i="8" l="1"/>
  <c r="J14" i="8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<sst xmlns="http://schemas.openxmlformats.org/spreadsheetml/2006/main" count="248" uniqueCount="124">
  <si>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</si>
  <si>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</si>
  <si>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</si>
  <si>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</si>
  <si>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</si>
  <si>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</si>
  <si>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</si>
  <si>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</si>
  <si>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</si>
  <si>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</si>
  <si>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</si>
  <si>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</si>
  <si>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</si>
  <si>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</si>
  <si>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</si>
  <si>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</si>
  <si>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</si>
  <si>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</si>
  <si>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</si>
  <si>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</si>
  <si>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</si>
  <si>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</si>
  <si>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</si>
  <si>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</si>
  <si>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</si>
  <si>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</si>
  <si>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</si>
  <si>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</si>
  <si>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</si>
  <si>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</si>
  <si>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</si>
  <si>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</si>
  <si>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</si>
  <si>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</si>
  <si>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</si>
  <si>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</si>
  <si>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</si>
  <si>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</si>
  <si>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</si>
  <si>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</si>
  <si>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</si>
  <si>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</si>
  <si>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</si>
  <si>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</si>
  <si>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</si>
  <si>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</si>
  <si>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</si>
  <si>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</si>
  <si>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</si>
  <si>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</si>
  <si>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</si>
  <si>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</si>
  <si>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</si>
  <si>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</si>
  <si>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</si>
  <si>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</si>
  <si>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</si>
  <si>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</si>
  <si>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</si>
  <si>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</si>
  <si>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</si>
  <si>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</si>
  <si>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</si>
  <si>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</si>
  <si>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</si>
  <si>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</si>
  <si>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</si>
  <si>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</si>
  <si>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</si>
  <si>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</si>
  <si>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</si>
  <si>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</si>
  <si>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</si>
  <si>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</si>
  <si>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</si>
  <si>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</si>
  <si>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</si>
  <si>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</si>
  <si>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</si>
  <si>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</si>
  <si>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</si>
  <si>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</si>
  <si>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</si>
  <si>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</si>
  <si>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</si>
  <si>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</si>
  <si>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</si>
  <si>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</si>
  <si>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</si>
  <si>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</si>
  <si>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</si>
  <si>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</si>
  <si>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</si>
  <si>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</si>
  <si>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</si>
  <si>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</si>
  <si>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</si>
  <si>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</si>
  <si>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</si>
  <si>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</si>
  <si>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</si>
  <si>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</si>
  <si>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</si>
  <si>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</si>
  <si>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</si>
  <si>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</si>
  <si>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</si>
  <si>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</si>
  <si>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</si>
  <si>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</si>
  <si>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</si>
  <si>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</si>
  <si>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</si>
  <si>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</si>
  <si>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</si>
  <si>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</si>
  <si>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</si>
  <si>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</si>
  <si>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</si>
  <si>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retinc i liquido)</t>
    </r>
  </si>
  <si>
    <t xml:space="preserve">        Autònoms (no administradors)</t>
  </si>
  <si>
    <r>
      <t xml:space="preserve">PLA PREVISIONAL DE TRESORERIA </t>
    </r>
    <r>
      <rPr>
        <b/>
        <i/>
        <sz val="18"/>
        <color theme="0"/>
        <rFont val="Calibri"/>
        <family val="2"/>
        <scheme val="minor"/>
      </rPr>
      <t>(per un any)</t>
    </r>
  </si>
  <si>
    <t>Puntual &gt;</t>
  </si>
  <si>
    <t>Periòdic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</si>
</sst>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  <font>
      <b/>
      <i/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1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3" fontId="5" fillId="5" borderId="4" xfId="0" applyNumberFormat="1" applyFont="1" applyFill="1" applyBorder="1" applyProtection="1"/>
    <xf numFmtId="0" fontId="30" fillId="5" borderId="4" xfId="0" applyFont="1" applyFill="1" applyBorder="1" applyAlignment="1" applyProtection="1">
      <alignment horizontal="center" vertical="center"/>
    </xf>
    <xf numFmtId="0" fontId="31" fillId="5" borderId="4" xfId="0" applyFont="1" applyFill="1" applyBorder="1" applyAlignment="1" applyProtection="1">
      <alignment horizontal="center" vertical="center"/>
    </xf>
    <xf numFmtId="0" fontId="29" fillId="4" borderId="0" xfId="0" applyFont="1" applyFill="1" applyBorder="1" applyAlignment="1" applyProtection="1">
      <alignment vertical="top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4" xfId="0" applyFont="1" applyFill="1" applyBorder="1" applyAlignment="1" applyProtection="1">
      <alignment horizontal="center" vertical="center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3" xfId="0" applyFont="1" applyFill="1" applyBorder="1" applyAlignment="1" applyProtection="1">
      <alignment horizontal="center" vertical="center"/>
      <protection locked="0"/>
    </xf>
    <xf numFmtId="0" fontId="34" fillId="5" borderId="0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35" fillId="5" borderId="5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protection locked="0"/>
    </xf>
    <xf numFmtId="0" fontId="38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" fillId="5" borderId="0" xfId="0" applyFont="1" applyFill="1" applyBorder="1" applyAlignment="1" applyProtection="1">
      <alignment horizontal="right" vertical="center"/>
    </xf>
    <xf numFmtId="0" fontId="4" fillId="3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 wrapText="1"/>
    </xf>
    <xf numFmtId="4" fontId="15" fillId="2" borderId="3" xfId="0" applyNumberFormat="1" applyFont="1" applyFill="1" applyBorder="1" applyAlignment="1" applyProtection="1">
      <alignment horizontal="center" vertical="center" wrapText="1"/>
    </xf>
    <xf numFmtId="4" fontId="15" fillId="2" borderId="13" xfId="0" applyNumberFormat="1" applyFont="1" applyFill="1" applyBorder="1" applyAlignment="1" applyProtection="1">
      <alignment horizontal="center" vertical="center" wrapText="1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28"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83</xdr:row>
      <xdr:rowOff>28598</xdr:rowOff>
    </xdr:from>
    <xdr:to>
      <xdr:col>1</xdr:col>
      <xdr:colOff>2438400</xdr:colOff>
      <xdr:row>87</xdr:row>
      <xdr:rowOff>19024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781270" y="17202173"/>
          <a:ext cx="761905" cy="752426"/>
          <a:chOff x="1838420" y="15535298"/>
          <a:chExt cx="761905" cy="752426"/>
        </a:xfrm>
      </xdr:grpSpPr>
      <xdr:pic>
        <xdr:nvPicPr>
          <xdr:cNvPr id="4" name="Imagen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5" name="Imagen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6" name="Imagen 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11" dataDxfId="10">
  <autoFilter ref="B3:E11" xr:uid="{DF5DDCA5-697E-484F-8867-B557BE3F6326}"/>
  <tableColumns count="4">
    <tableColumn id="1" xr3:uid="{673C4E65-C9E7-436F-A488-041D1F90C60A}" name="IVA" dataDxfId="9"/>
    <tableColumn id="2" xr3:uid="{F5D70241-CC15-41F8-B7C1-214D6E527AB2}" name="IRPF" dataDxfId="8"/>
    <tableColumn id="4" xr3:uid="{9C37BBAF-5573-4873-A623-BEEB47AF217D}" name="Puntual" dataDxfId="7"/>
    <tableColumn id="3" xr3:uid="{4A41A97F-A4A0-40D9-9595-82885A6CD526}" name="Periòd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Normal="100" workbookViewId="0">
      <pane ySplit="6" topLeftCell="A79" activePane="bottomLeft" state="frozen"/>
      <selection pane="bottomLeft" activeCell="J79" sqref="J79 J50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38" t="s">
        <v>121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W2" s="115" t="s">
        <v>102</v>
      </c>
      <c r="X2" s="115"/>
      <c r="Y2" s="5"/>
      <c r="Z2" s="5"/>
    </row>
    <row r="3" spans="2:26" s="109" customFormat="1" ht="14.25" customHeight="1">
      <c r="B3" s="137"/>
      <c r="C3" s="132" t="s">
        <v>118</v>
      </c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W3" s="5"/>
      <c r="X3" s="5"/>
      <c r="Y3" s="111"/>
      <c r="Z3" s="111"/>
    </row>
    <row r="4" spans="2:26" ht="18.75" customHeight="1">
      <c r="B4" s="140" t="s">
        <v>98</v>
      </c>
      <c r="C4" s="151" t="s">
        <v>31</v>
      </c>
      <c r="D4" s="152"/>
      <c r="E4" s="153"/>
      <c r="F4" s="143" t="s">
        <v>44</v>
      </c>
      <c r="G4" s="143"/>
      <c r="H4" s="145"/>
      <c r="I4" s="141" t="s">
        <v>32</v>
      </c>
      <c r="J4" s="141"/>
      <c r="K4" s="141"/>
      <c r="L4" s="141"/>
      <c r="M4" s="141"/>
      <c r="N4" s="141"/>
      <c r="O4" s="141"/>
      <c r="P4" s="141"/>
      <c r="Q4" s="141"/>
      <c r="R4" s="141"/>
      <c r="S4" s="135"/>
      <c r="T4" s="135"/>
      <c r="U4" s="147" t="s">
        <v>68</v>
      </c>
      <c r="W4" s="5"/>
      <c r="X4" s="5"/>
      <c r="Y4" s="5"/>
      <c r="Z4" s="5"/>
    </row>
    <row r="5" spans="2:26" ht="6" customHeight="1">
      <c r="B5" s="141"/>
      <c r="C5" s="150" t="s">
        <v>122</v>
      </c>
      <c r="D5" s="150" t="s">
        <v>47</v>
      </c>
      <c r="E5" s="150" t="s">
        <v>123</v>
      </c>
      <c r="F5" s="144"/>
      <c r="G5" s="144"/>
      <c r="H5" s="146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35"/>
      <c r="T5" s="135"/>
      <c r="U5" s="148"/>
      <c r="W5" s="5"/>
      <c r="X5" s="5"/>
      <c r="Y5" s="5"/>
      <c r="Z5" s="5"/>
    </row>
    <row r="6" spans="2:26" ht="24" customHeight="1">
      <c r="B6" s="142"/>
      <c r="C6" s="143"/>
      <c r="D6" s="143"/>
      <c r="E6" s="143"/>
      <c r="F6" s="144"/>
      <c r="G6" s="116" t="s">
        <v>99</v>
      </c>
      <c r="H6" s="116" t="s">
        <v>100</v>
      </c>
      <c r="I6" s="136" t="s">
        <v>37</v>
      </c>
      <c r="J6" s="136" t="s">
        <v>45</v>
      </c>
      <c r="K6" s="136" t="s">
        <v>46</v>
      </c>
      <c r="L6" s="136" t="s">
        <v>38</v>
      </c>
      <c r="M6" s="136" t="s">
        <v>45</v>
      </c>
      <c r="N6" s="136" t="s">
        <v>46</v>
      </c>
      <c r="O6" s="136" t="s">
        <v>39</v>
      </c>
      <c r="P6" s="136" t="s">
        <v>45</v>
      </c>
      <c r="Q6" s="136" t="s">
        <v>46</v>
      </c>
      <c r="R6" s="136" t="s">
        <v>40</v>
      </c>
      <c r="S6" s="136" t="s">
        <v>45</v>
      </c>
      <c r="T6" s="136" t="s">
        <v>46</v>
      </c>
      <c r="U6" s="149"/>
      <c r="W6" s="5"/>
      <c r="X6" s="5"/>
      <c r="Y6" s="5"/>
      <c r="Z6" s="5"/>
    </row>
    <row r="7" spans="2:26" ht="27" customHeight="1">
      <c r="B7" s="139" t="s">
        <v>0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28"/>
      <c r="F9" s="120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32"/>
      <c r="F10" s="121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32"/>
      <c r="F11" s="121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120</v>
      </c>
      <c r="C12" s="90"/>
      <c r="D12" s="65"/>
      <c r="E12" s="32"/>
      <c r="F12" s="121"/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22"/>
      <c r="D13" s="122"/>
      <c r="E13" s="22"/>
      <c r="F13" s="122"/>
      <c r="G13" s="123"/>
      <c r="H13" s="123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22"/>
      <c r="D15" s="120"/>
      <c r="E15" s="22"/>
      <c r="F15" s="120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28"/>
      <c r="D17" s="120"/>
      <c r="E17" s="28"/>
      <c r="F17" s="120"/>
      <c r="G17" s="124"/>
      <c r="H17" s="124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36"/>
      <c r="D18" s="119"/>
      <c r="E18" s="36"/>
      <c r="F18" s="120"/>
      <c r="G18" s="123"/>
      <c r="H18" s="123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28"/>
      <c r="D20" s="120"/>
      <c r="E20" s="28"/>
      <c r="F20" s="120"/>
      <c r="G20" s="124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/>
      <c r="L20" s="17">
        <f t="shared" ref="L20:L25" si="17">Import2T($C20,$D20,$E20,$F20)</f>
        <v>0</v>
      </c>
      <c r="M20" s="50">
        <f t="shared" ref="M20:M25" si="18">CalcIva($G20,$H20,$L20)</f>
        <v>0</v>
      </c>
      <c r="N20" s="50"/>
      <c r="O20" s="17">
        <f t="shared" ref="O20:O25" si="19">Import3T($C20,$D20,$E20,$F20)</f>
        <v>0</v>
      </c>
      <c r="P20" s="50">
        <f t="shared" ref="P20:P25" si="20">CalcIva($G20,$H20,$O20)</f>
        <v>0</v>
      </c>
      <c r="Q20" s="50"/>
      <c r="R20" s="17">
        <f t="shared" ref="R20:R25" si="21">Import4T($C20,$D20,$E20,$F20)</f>
        <v>0</v>
      </c>
      <c r="S20" s="50">
        <f t="shared" ref="S20:S25" si="22">CalcIva($G20,$H20,$R20)</f>
        <v>0</v>
      </c>
      <c r="T20" s="50"/>
      <c r="U20" s="18">
        <f t="shared" ref="U20:U25" si="23">SUM($I20,$L20,$O20,$R20)</f>
        <v>0</v>
      </c>
    </row>
    <row r="21" spans="2:23" ht="15" customHeight="1">
      <c r="B21" s="27" t="s">
        <v>23</v>
      </c>
      <c r="C21" s="32"/>
      <c r="D21" s="120"/>
      <c r="E21" s="32"/>
      <c r="F21" s="121"/>
      <c r="G21" s="125"/>
      <c r="H21" s="71"/>
      <c r="I21" s="17">
        <f t="shared" si="15"/>
        <v>0</v>
      </c>
      <c r="J21" s="50">
        <f t="shared" si="16"/>
        <v>0</v>
      </c>
      <c r="K21" s="50"/>
      <c r="L21" s="17">
        <f t="shared" si="17"/>
        <v>0</v>
      </c>
      <c r="M21" s="50">
        <f t="shared" si="18"/>
        <v>0</v>
      </c>
      <c r="N21" s="50"/>
      <c r="O21" s="17">
        <f t="shared" si="19"/>
        <v>0</v>
      </c>
      <c r="P21" s="50">
        <f t="shared" si="20"/>
        <v>0</v>
      </c>
      <c r="Q21" s="50"/>
      <c r="R21" s="17">
        <f t="shared" si="21"/>
        <v>0</v>
      </c>
      <c r="S21" s="50">
        <f t="shared" si="22"/>
        <v>0</v>
      </c>
      <c r="T21" s="50"/>
      <c r="U21" s="18">
        <f>SUM($I21,$L21,$O21,$R21)</f>
        <v>0</v>
      </c>
    </row>
    <row r="22" spans="2:23" ht="15" customHeight="1">
      <c r="B22" s="27" t="s">
        <v>24</v>
      </c>
      <c r="C22" s="32"/>
      <c r="D22" s="120"/>
      <c r="E22" s="32"/>
      <c r="F22" s="121"/>
      <c r="G22" s="125"/>
      <c r="H22" s="71"/>
      <c r="I22" s="17">
        <f t="shared" si="15"/>
        <v>0</v>
      </c>
      <c r="J22" s="50">
        <f t="shared" si="16"/>
        <v>0</v>
      </c>
      <c r="K22" s="50"/>
      <c r="L22" s="17">
        <f t="shared" si="17"/>
        <v>0</v>
      </c>
      <c r="M22" s="50">
        <f t="shared" si="18"/>
        <v>0</v>
      </c>
      <c r="N22" s="50"/>
      <c r="O22" s="17">
        <f t="shared" si="19"/>
        <v>0</v>
      </c>
      <c r="P22" s="50">
        <f t="shared" si="20"/>
        <v>0</v>
      </c>
      <c r="Q22" s="50"/>
      <c r="R22" s="17">
        <f t="shared" si="21"/>
        <v>0</v>
      </c>
      <c r="S22" s="50">
        <f t="shared" si="22"/>
        <v>0</v>
      </c>
      <c r="T22" s="50"/>
      <c r="U22" s="18">
        <f t="shared" si="23"/>
        <v>0</v>
      </c>
    </row>
    <row r="23" spans="2:23" ht="15" customHeight="1">
      <c r="B23" s="27" t="s">
        <v>25</v>
      </c>
      <c r="C23" s="32"/>
      <c r="D23" s="120"/>
      <c r="E23" s="32"/>
      <c r="F23" s="121"/>
      <c r="G23" s="125"/>
      <c r="H23" s="71"/>
      <c r="I23" s="17">
        <f t="shared" si="15"/>
        <v>0</v>
      </c>
      <c r="J23" s="50">
        <f t="shared" si="16"/>
        <v>0</v>
      </c>
      <c r="K23" s="50"/>
      <c r="L23" s="17">
        <f t="shared" si="17"/>
        <v>0</v>
      </c>
      <c r="M23" s="50">
        <f t="shared" si="18"/>
        <v>0</v>
      </c>
      <c r="N23" s="50"/>
      <c r="O23" s="17">
        <f t="shared" si="19"/>
        <v>0</v>
      </c>
      <c r="P23" s="50">
        <f t="shared" si="20"/>
        <v>0</v>
      </c>
      <c r="Q23" s="50"/>
      <c r="R23" s="17">
        <f t="shared" si="21"/>
        <v>0</v>
      </c>
      <c r="S23" s="50">
        <f t="shared" si="22"/>
        <v>0</v>
      </c>
      <c r="T23" s="50"/>
      <c r="U23" s="18">
        <f>SUM($I23,$L23,$O23,$R23)</f>
        <v>0</v>
      </c>
    </row>
    <row r="24" spans="2:23" ht="15" customHeight="1">
      <c r="B24" s="27" t="s">
        <v>26</v>
      </c>
      <c r="C24" s="32"/>
      <c r="D24" s="120"/>
      <c r="E24" s="32"/>
      <c r="F24" s="121"/>
      <c r="G24" s="125"/>
      <c r="H24" s="71"/>
      <c r="I24" s="17">
        <f t="shared" si="15"/>
        <v>0</v>
      </c>
      <c r="J24" s="50">
        <f t="shared" si="16"/>
        <v>0</v>
      </c>
      <c r="K24" s="50"/>
      <c r="L24" s="17">
        <f t="shared" si="17"/>
        <v>0</v>
      </c>
      <c r="M24" s="50">
        <f t="shared" si="18"/>
        <v>0</v>
      </c>
      <c r="N24" s="50"/>
      <c r="O24" s="17">
        <f t="shared" si="19"/>
        <v>0</v>
      </c>
      <c r="P24" s="50">
        <f t="shared" si="20"/>
        <v>0</v>
      </c>
      <c r="Q24" s="50"/>
      <c r="R24" s="17">
        <f t="shared" si="21"/>
        <v>0</v>
      </c>
      <c r="S24" s="50">
        <f t="shared" si="22"/>
        <v>0</v>
      </c>
      <c r="T24" s="50"/>
      <c r="U24" s="18">
        <f t="shared" si="23"/>
        <v>0</v>
      </c>
    </row>
    <row r="25" spans="2:23" ht="15" customHeight="1">
      <c r="B25" s="27" t="s">
        <v>27</v>
      </c>
      <c r="C25" s="36"/>
      <c r="D25" s="119"/>
      <c r="E25" s="36"/>
      <c r="F25" s="119"/>
      <c r="G25" s="126"/>
      <c r="H25" s="19"/>
      <c r="I25" s="19">
        <f t="shared" si="15"/>
        <v>0</v>
      </c>
      <c r="J25" s="52">
        <f t="shared" si="16"/>
        <v>0</v>
      </c>
      <c r="K25" s="52"/>
      <c r="L25" s="19">
        <f t="shared" si="17"/>
        <v>0</v>
      </c>
      <c r="M25" s="54">
        <f t="shared" si="18"/>
        <v>0</v>
      </c>
      <c r="N25" s="54"/>
      <c r="O25" s="46">
        <f t="shared" si="19"/>
        <v>0</v>
      </c>
      <c r="P25" s="54">
        <f t="shared" si="20"/>
        <v>0</v>
      </c>
      <c r="Q25" s="54"/>
      <c r="R25" s="46">
        <f t="shared" si="21"/>
        <v>0</v>
      </c>
      <c r="S25" s="54">
        <f t="shared" si="22"/>
        <v>0</v>
      </c>
      <c r="T25" s="54"/>
      <c r="U25" s="47">
        <f t="shared" si="23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4">SUM(J27:J38)</f>
        <v>0</v>
      </c>
      <c r="K26" s="41">
        <f t="shared" si="24"/>
        <v>0</v>
      </c>
      <c r="L26" s="41">
        <f t="shared" si="24"/>
        <v>0</v>
      </c>
      <c r="M26" s="41">
        <f t="shared" si="24"/>
        <v>0</v>
      </c>
      <c r="N26" s="41">
        <f t="shared" si="24"/>
        <v>0</v>
      </c>
      <c r="O26" s="41">
        <f t="shared" si="24"/>
        <v>0</v>
      </c>
      <c r="P26" s="41">
        <f t="shared" si="24"/>
        <v>0</v>
      </c>
      <c r="Q26" s="41">
        <f t="shared" si="24"/>
        <v>0</v>
      </c>
      <c r="R26" s="41">
        <f t="shared" si="24"/>
        <v>0</v>
      </c>
      <c r="S26" s="41">
        <f t="shared" si="24"/>
        <v>0</v>
      </c>
      <c r="T26" s="41">
        <f t="shared" si="24"/>
        <v>0</v>
      </c>
      <c r="U26" s="48">
        <f t="shared" si="24"/>
        <v>0</v>
      </c>
    </row>
    <row r="27" spans="2:23" ht="15" customHeight="1">
      <c r="B27" s="44" t="s">
        <v>95</v>
      </c>
      <c r="C27" s="28"/>
      <c r="D27" s="120"/>
      <c r="E27" s="28"/>
      <c r="F27" s="120"/>
      <c r="G27" s="124"/>
      <c r="H27" s="17"/>
      <c r="I27" s="17">
        <f t="shared" ref="I27:I36" si="25">Import1T($C27,$D27,$E27,$F27)</f>
        <v>0</v>
      </c>
      <c r="J27" s="50">
        <f t="shared" ref="J27:J36" si="26">CalcIva($G27,$H27,$I27)</f>
        <v>0</v>
      </c>
      <c r="K27" s="50">
        <f t="shared" ref="K27:K34" si="27">CalcIrpf($G27,$H27,$I27)</f>
        <v>0</v>
      </c>
      <c r="L27" s="17">
        <f t="shared" ref="L27:L36" si="28">Import2T($C27,$D27,$E27,$F27)</f>
        <v>0</v>
      </c>
      <c r="M27" s="50">
        <f t="shared" ref="M27:M36" si="29">CalcIva($G27,$H27,$L27)</f>
        <v>0</v>
      </c>
      <c r="N27" s="50">
        <f t="shared" ref="N27:N34" si="30">CalcIrpf($G27,$H27,$L27)</f>
        <v>0</v>
      </c>
      <c r="O27" s="17">
        <f t="shared" ref="O27:O36" si="31">Import3T($C27,$D27,$E27,$F27)</f>
        <v>0</v>
      </c>
      <c r="P27" s="50">
        <f t="shared" ref="P27:P36" si="32">CalcIva($G27,$H27,$O27)</f>
        <v>0</v>
      </c>
      <c r="Q27" s="50">
        <f t="shared" ref="Q27:Q34" si="33">CalcIrpf($G27,$H27,$O27)</f>
        <v>0</v>
      </c>
      <c r="R27" s="17">
        <f t="shared" ref="R27:R36" si="34">Import4T($C27,$D27,$E27,$F27)</f>
        <v>0</v>
      </c>
      <c r="S27" s="50">
        <f t="shared" ref="S27:S36" si="35">CalcIva($G27,$H27,$R27)</f>
        <v>0</v>
      </c>
      <c r="T27" s="50">
        <f t="shared" ref="T27:T34" si="36">CalcIrpf($G27,$H27,$R27)</f>
        <v>0</v>
      </c>
      <c r="U27" s="18">
        <f t="shared" ref="U27:U36" si="37">SUM($I27,$L27,$O27,$R27)</f>
        <v>0</v>
      </c>
    </row>
    <row r="28" spans="2:23" ht="15" customHeight="1">
      <c r="B28" s="27" t="s">
        <v>4</v>
      </c>
      <c r="C28" s="32"/>
      <c r="D28" s="121"/>
      <c r="E28" s="32"/>
      <c r="F28" s="121"/>
      <c r="G28" s="125"/>
      <c r="H28" s="71"/>
      <c r="I28" s="17">
        <f t="shared" si="25"/>
        <v>0</v>
      </c>
      <c r="J28" s="50">
        <f t="shared" si="26"/>
        <v>0</v>
      </c>
      <c r="K28" s="50">
        <f t="shared" si="27"/>
        <v>0</v>
      </c>
      <c r="L28" s="17">
        <f t="shared" si="28"/>
        <v>0</v>
      </c>
      <c r="M28" s="50">
        <f t="shared" si="29"/>
        <v>0</v>
      </c>
      <c r="N28" s="50">
        <f t="shared" si="30"/>
        <v>0</v>
      </c>
      <c r="O28" s="17">
        <f t="shared" si="31"/>
        <v>0</v>
      </c>
      <c r="P28" s="50">
        <f t="shared" si="32"/>
        <v>0</v>
      </c>
      <c r="Q28" s="50">
        <f t="shared" si="33"/>
        <v>0</v>
      </c>
      <c r="R28" s="17">
        <f t="shared" si="34"/>
        <v>0</v>
      </c>
      <c r="S28" s="50">
        <f t="shared" si="35"/>
        <v>0</v>
      </c>
      <c r="T28" s="50">
        <f t="shared" si="36"/>
        <v>0</v>
      </c>
      <c r="U28" s="18">
        <f t="shared" si="37"/>
        <v>0</v>
      </c>
    </row>
    <row r="29" spans="2:23" ht="15" customHeight="1">
      <c r="B29" s="27" t="s">
        <v>18</v>
      </c>
      <c r="C29" s="32"/>
      <c r="D29" s="121"/>
      <c r="E29" s="32"/>
      <c r="F29" s="121"/>
      <c r="G29" s="125"/>
      <c r="H29" s="71"/>
      <c r="I29" s="17">
        <f t="shared" si="25"/>
        <v>0</v>
      </c>
      <c r="J29" s="50">
        <f t="shared" si="26"/>
        <v>0</v>
      </c>
      <c r="K29" s="50">
        <f t="shared" si="27"/>
        <v>0</v>
      </c>
      <c r="L29" s="17">
        <f t="shared" si="28"/>
        <v>0</v>
      </c>
      <c r="M29" s="50">
        <f t="shared" si="29"/>
        <v>0</v>
      </c>
      <c r="N29" s="50">
        <f t="shared" si="30"/>
        <v>0</v>
      </c>
      <c r="O29" s="17">
        <f t="shared" si="31"/>
        <v>0</v>
      </c>
      <c r="P29" s="50">
        <f t="shared" si="32"/>
        <v>0</v>
      </c>
      <c r="Q29" s="50">
        <f t="shared" si="33"/>
        <v>0</v>
      </c>
      <c r="R29" s="17">
        <f t="shared" si="34"/>
        <v>0</v>
      </c>
      <c r="S29" s="50">
        <f t="shared" si="35"/>
        <v>0</v>
      </c>
      <c r="T29" s="50">
        <f t="shared" si="36"/>
        <v>0</v>
      </c>
      <c r="U29" s="18">
        <f t="shared" si="37"/>
        <v>0</v>
      </c>
      <c r="W29" s="131"/>
    </row>
    <row r="30" spans="2:23" ht="15" customHeight="1">
      <c r="B30" s="27" t="s">
        <v>19</v>
      </c>
      <c r="C30" s="32"/>
      <c r="D30" s="121"/>
      <c r="E30" s="32"/>
      <c r="F30" s="121"/>
      <c r="G30" s="125"/>
      <c r="H30" s="71"/>
      <c r="I30" s="17">
        <f t="shared" si="25"/>
        <v>0</v>
      </c>
      <c r="J30" s="50">
        <f t="shared" si="26"/>
        <v>0</v>
      </c>
      <c r="K30" s="50">
        <f t="shared" si="27"/>
        <v>0</v>
      </c>
      <c r="L30" s="17">
        <f t="shared" si="28"/>
        <v>0</v>
      </c>
      <c r="M30" s="50">
        <f t="shared" si="29"/>
        <v>0</v>
      </c>
      <c r="N30" s="50">
        <f t="shared" si="30"/>
        <v>0</v>
      </c>
      <c r="O30" s="17">
        <f t="shared" si="31"/>
        <v>0</v>
      </c>
      <c r="P30" s="50">
        <f t="shared" si="32"/>
        <v>0</v>
      </c>
      <c r="Q30" s="50">
        <f t="shared" si="33"/>
        <v>0</v>
      </c>
      <c r="R30" s="17">
        <f t="shared" si="34"/>
        <v>0</v>
      </c>
      <c r="S30" s="50">
        <f t="shared" si="35"/>
        <v>0</v>
      </c>
      <c r="T30" s="50">
        <f t="shared" si="36"/>
        <v>0</v>
      </c>
      <c r="U30" s="18">
        <f t="shared" si="37"/>
        <v>0</v>
      </c>
    </row>
    <row r="31" spans="2:23" ht="15" customHeight="1">
      <c r="B31" s="27" t="s">
        <v>16</v>
      </c>
      <c r="C31" s="32"/>
      <c r="D31" s="121"/>
      <c r="E31" s="32"/>
      <c r="F31" s="121"/>
      <c r="G31" s="125"/>
      <c r="H31" s="71"/>
      <c r="I31" s="17">
        <f t="shared" si="25"/>
        <v>0</v>
      </c>
      <c r="J31" s="50">
        <f t="shared" si="26"/>
        <v>0</v>
      </c>
      <c r="K31" s="50">
        <f t="shared" si="27"/>
        <v>0</v>
      </c>
      <c r="L31" s="17">
        <f t="shared" si="28"/>
        <v>0</v>
      </c>
      <c r="M31" s="50">
        <f t="shared" si="29"/>
        <v>0</v>
      </c>
      <c r="N31" s="50">
        <f t="shared" si="30"/>
        <v>0</v>
      </c>
      <c r="O31" s="17">
        <f t="shared" si="31"/>
        <v>0</v>
      </c>
      <c r="P31" s="50">
        <f t="shared" si="32"/>
        <v>0</v>
      </c>
      <c r="Q31" s="50">
        <f t="shared" si="33"/>
        <v>0</v>
      </c>
      <c r="R31" s="17">
        <f t="shared" si="34"/>
        <v>0</v>
      </c>
      <c r="S31" s="50">
        <f t="shared" si="35"/>
        <v>0</v>
      </c>
      <c r="T31" s="50">
        <f t="shared" si="36"/>
        <v>0</v>
      </c>
      <c r="U31" s="18">
        <f t="shared" si="37"/>
        <v>0</v>
      </c>
      <c r="W31" s="131"/>
    </row>
    <row r="32" spans="2:23" ht="15" customHeight="1">
      <c r="B32" s="27" t="s">
        <v>17</v>
      </c>
      <c r="C32" s="32"/>
      <c r="D32" s="121"/>
      <c r="E32" s="32"/>
      <c r="F32" s="121"/>
      <c r="G32" s="125"/>
      <c r="H32" s="71"/>
      <c r="I32" s="17">
        <f t="shared" si="25"/>
        <v>0</v>
      </c>
      <c r="J32" s="50">
        <f t="shared" si="26"/>
        <v>0</v>
      </c>
      <c r="K32" s="50">
        <f t="shared" si="27"/>
        <v>0</v>
      </c>
      <c r="L32" s="17">
        <f t="shared" si="28"/>
        <v>0</v>
      </c>
      <c r="M32" s="50">
        <f t="shared" si="29"/>
        <v>0</v>
      </c>
      <c r="N32" s="50">
        <f t="shared" si="30"/>
        <v>0</v>
      </c>
      <c r="O32" s="17">
        <f t="shared" si="31"/>
        <v>0</v>
      </c>
      <c r="P32" s="50">
        <f t="shared" si="32"/>
        <v>0</v>
      </c>
      <c r="Q32" s="50">
        <f t="shared" si="33"/>
        <v>0</v>
      </c>
      <c r="R32" s="17">
        <f t="shared" si="34"/>
        <v>0</v>
      </c>
      <c r="S32" s="50">
        <f t="shared" si="35"/>
        <v>0</v>
      </c>
      <c r="T32" s="50">
        <f t="shared" si="36"/>
        <v>0</v>
      </c>
      <c r="U32" s="18">
        <f t="shared" si="37"/>
        <v>0</v>
      </c>
    </row>
    <row r="33" spans="2:21" ht="15" customHeight="1">
      <c r="B33" s="27" t="s">
        <v>12</v>
      </c>
      <c r="C33" s="32"/>
      <c r="D33" s="121"/>
      <c r="E33" s="32"/>
      <c r="F33" s="121"/>
      <c r="G33" s="125"/>
      <c r="H33" s="71"/>
      <c r="I33" s="17">
        <f t="shared" si="25"/>
        <v>0</v>
      </c>
      <c r="J33" s="50">
        <f t="shared" si="26"/>
        <v>0</v>
      </c>
      <c r="K33" s="50">
        <f t="shared" si="27"/>
        <v>0</v>
      </c>
      <c r="L33" s="17">
        <f t="shared" si="28"/>
        <v>0</v>
      </c>
      <c r="M33" s="50">
        <f t="shared" si="29"/>
        <v>0</v>
      </c>
      <c r="N33" s="50">
        <f t="shared" si="30"/>
        <v>0</v>
      </c>
      <c r="O33" s="17">
        <f t="shared" si="31"/>
        <v>0</v>
      </c>
      <c r="P33" s="50">
        <f t="shared" si="32"/>
        <v>0</v>
      </c>
      <c r="Q33" s="50">
        <f t="shared" si="33"/>
        <v>0</v>
      </c>
      <c r="R33" s="17">
        <f t="shared" si="34"/>
        <v>0</v>
      </c>
      <c r="S33" s="50">
        <f t="shared" si="35"/>
        <v>0</v>
      </c>
      <c r="T33" s="50">
        <f t="shared" si="36"/>
        <v>0</v>
      </c>
      <c r="U33" s="18">
        <f t="shared" si="37"/>
        <v>0</v>
      </c>
    </row>
    <row r="34" spans="2:21" ht="15" customHeight="1">
      <c r="B34" s="27" t="s">
        <v>5</v>
      </c>
      <c r="C34" s="32"/>
      <c r="D34" s="121"/>
      <c r="E34" s="32"/>
      <c r="F34" s="121"/>
      <c r="G34" s="126"/>
      <c r="H34" s="71"/>
      <c r="I34" s="17">
        <f t="shared" si="25"/>
        <v>0</v>
      </c>
      <c r="J34" s="50">
        <f t="shared" si="26"/>
        <v>0</v>
      </c>
      <c r="K34" s="50">
        <f t="shared" si="27"/>
        <v>0</v>
      </c>
      <c r="L34" s="17">
        <f t="shared" si="28"/>
        <v>0</v>
      </c>
      <c r="M34" s="50">
        <f t="shared" si="29"/>
        <v>0</v>
      </c>
      <c r="N34" s="50">
        <f t="shared" si="30"/>
        <v>0</v>
      </c>
      <c r="O34" s="17">
        <f t="shared" si="31"/>
        <v>0</v>
      </c>
      <c r="P34" s="50">
        <f t="shared" si="32"/>
        <v>0</v>
      </c>
      <c r="Q34" s="50">
        <f t="shared" si="33"/>
        <v>0</v>
      </c>
      <c r="R34" s="17">
        <f t="shared" si="34"/>
        <v>0</v>
      </c>
      <c r="S34" s="50">
        <f t="shared" si="35"/>
        <v>0</v>
      </c>
      <c r="T34" s="50">
        <f t="shared" si="36"/>
        <v>0</v>
      </c>
      <c r="U34" s="18">
        <f t="shared" si="37"/>
        <v>0</v>
      </c>
    </row>
    <row r="35" spans="2:21" ht="15" customHeight="1">
      <c r="B35" s="27" t="s">
        <v>6</v>
      </c>
      <c r="C35" s="32"/>
      <c r="D35" s="121"/>
      <c r="E35" s="32"/>
      <c r="F35" s="120"/>
      <c r="G35" s="17"/>
      <c r="H35" s="17"/>
      <c r="I35" s="17">
        <f t="shared" si="25"/>
        <v>0</v>
      </c>
      <c r="J35" s="50"/>
      <c r="K35" s="50"/>
      <c r="L35" s="17">
        <f t="shared" si="28"/>
        <v>0</v>
      </c>
      <c r="M35" s="50"/>
      <c r="N35" s="50"/>
      <c r="O35" s="17">
        <f t="shared" si="31"/>
        <v>0</v>
      </c>
      <c r="P35" s="50"/>
      <c r="Q35" s="50"/>
      <c r="R35" s="17">
        <f t="shared" si="34"/>
        <v>0</v>
      </c>
      <c r="S35" s="50"/>
      <c r="T35" s="50"/>
      <c r="U35" s="18">
        <f t="shared" si="37"/>
        <v>0</v>
      </c>
    </row>
    <row r="36" spans="2:21" ht="15" customHeight="1">
      <c r="B36" s="27" t="s">
        <v>94</v>
      </c>
      <c r="C36" s="32"/>
      <c r="D36" s="121"/>
      <c r="E36" s="32"/>
      <c r="F36" s="122"/>
      <c r="G36" s="123"/>
      <c r="H36" s="46"/>
      <c r="I36" s="17">
        <f t="shared" si="25"/>
        <v>0</v>
      </c>
      <c r="J36" s="50">
        <f t="shared" si="26"/>
        <v>0</v>
      </c>
      <c r="K36" s="50"/>
      <c r="L36" s="17">
        <f t="shared" si="28"/>
        <v>0</v>
      </c>
      <c r="M36" s="50">
        <f t="shared" si="29"/>
        <v>0</v>
      </c>
      <c r="N36" s="50"/>
      <c r="O36" s="17">
        <f t="shared" si="31"/>
        <v>0</v>
      </c>
      <c r="P36" s="50">
        <f t="shared" si="32"/>
        <v>0</v>
      </c>
      <c r="Q36" s="50"/>
      <c r="R36" s="17">
        <f t="shared" si="34"/>
        <v>0</v>
      </c>
      <c r="S36" s="50">
        <f t="shared" si="35"/>
        <v>0</v>
      </c>
      <c r="T36" s="50"/>
      <c r="U36" s="18">
        <f t="shared" si="37"/>
        <v>0</v>
      </c>
    </row>
    <row r="37" spans="2:21" ht="15" customHeight="1">
      <c r="B37" s="27" t="s">
        <v>15</v>
      </c>
      <c r="C37" s="32"/>
      <c r="D37" s="121"/>
      <c r="E37" s="32"/>
      <c r="F37" s="129"/>
      <c r="G37" s="127"/>
      <c r="H37" s="127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36"/>
      <c r="D38" s="119"/>
      <c r="E38" s="36"/>
      <c r="F38" s="122"/>
      <c r="G38" s="123"/>
      <c r="H38" s="123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38">SUM(J40:J42)</f>
        <v>0</v>
      </c>
      <c r="K39" s="41">
        <f t="shared" si="38"/>
        <v>0</v>
      </c>
      <c r="L39" s="41">
        <f>SUM(L40:L42)</f>
        <v>0</v>
      </c>
      <c r="M39" s="41">
        <f t="shared" ref="M39:N39" si="39">SUM(M40:M42)</f>
        <v>0</v>
      </c>
      <c r="N39" s="41">
        <f t="shared" si="39"/>
        <v>0</v>
      </c>
      <c r="O39" s="41">
        <f>SUM(O40:O42)</f>
        <v>0</v>
      </c>
      <c r="P39" s="41">
        <f t="shared" ref="P39:Q39" si="40">SUM(P40:P42)</f>
        <v>0</v>
      </c>
      <c r="Q39" s="41">
        <f t="shared" si="40"/>
        <v>0</v>
      </c>
      <c r="R39" s="41">
        <f>SUM(R40:R42)</f>
        <v>0</v>
      </c>
      <c r="S39" s="41">
        <f t="shared" ref="S39:T39" si="41">SUM(S40:S42)</f>
        <v>0</v>
      </c>
      <c r="T39" s="41">
        <f t="shared" si="41"/>
        <v>0</v>
      </c>
      <c r="U39" s="48">
        <f>SUM(U40:U42)</f>
        <v>0</v>
      </c>
    </row>
    <row r="40" spans="2:21" ht="15" customHeight="1">
      <c r="B40" s="98"/>
      <c r="C40" s="28"/>
      <c r="D40" s="120"/>
      <c r="E40" s="28"/>
      <c r="F40" s="120"/>
      <c r="G40" s="124"/>
      <c r="H40" s="124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32"/>
      <c r="D41" s="120"/>
      <c r="E41" s="32"/>
      <c r="F41" s="121"/>
      <c r="G41" s="125"/>
      <c r="H41" s="125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36"/>
      <c r="D42" s="122"/>
      <c r="E42" s="22"/>
      <c r="F42" s="122"/>
      <c r="G42" s="123"/>
      <c r="H42" s="123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 t="shared" ref="I43:T43" si="42">SUM(I44:I47)</f>
        <v>0</v>
      </c>
      <c r="J43" s="41">
        <f>SUM(J44:J49)</f>
        <v>0</v>
      </c>
      <c r="K43" s="41">
        <f>SUM(K44:K49)</f>
        <v>0</v>
      </c>
      <c r="L43" s="41">
        <f>SUM(L44:L49)</f>
        <v>0</v>
      </c>
      <c r="M43" s="41">
        <f>SUM(M44:M49)</f>
        <v>0</v>
      </c>
      <c r="N43" s="41">
        <f>SUM(N44:N49)</f>
        <v>0</v>
      </c>
      <c r="O43" s="41">
        <f>SUM(O44:O49)</f>
        <v>0</v>
      </c>
      <c r="P43" s="41">
        <f>SUM(P44:P49)</f>
        <v>0</v>
      </c>
      <c r="Q43" s="41">
        <f>SUM(Q44:Q49)</f>
        <v>0</v>
      </c>
      <c r="R43" s="41">
        <f>SUM(R44:R49)</f>
        <v>0</v>
      </c>
      <c r="S43" s="41">
        <f>SUM(S44:S49)</f>
        <v>0</v>
      </c>
      <c r="T43" s="41">
        <f>SUM(T44:T49)</f>
        <v>0</v>
      </c>
      <c r="U43" s="48">
        <f>SUM(U44:U49)</f>
        <v>0</v>
      </c>
    </row>
    <row r="44" spans="2:21" ht="15" customHeight="1">
      <c r="B44" s="44" t="s">
        <v>115</v>
      </c>
      <c r="C44" s="28"/>
      <c r="D44" s="120"/>
      <c r="E44" s="28"/>
      <c r="F44" s="120"/>
      <c r="G44" s="17"/>
      <c r="H44" s="17"/>
      <c r="I44" s="17">
        <f>Import1T($C44,$D44,$E44,$F44)</f>
        <v>0</v>
      </c>
      <c r="J44" s="50"/>
      <c r="K44" s="50"/>
      <c r="L44" s="17">
        <f t="shared" ref="L44:L49" si="43">Import2T($C44,$D44,$E44,$F44)</f>
        <v>0</v>
      </c>
      <c r="M44" s="50"/>
      <c r="N44" s="50"/>
      <c r="O44" s="17">
        <f t="shared" ref="O44:O49" si="44">Import3T($C44,$D44,$E44,$F44)</f>
        <v>0</v>
      </c>
      <c r="P44" s="50"/>
      <c r="Q44" s="50"/>
      <c r="R44" s="17">
        <f t="shared" ref="R44:R49" si="45">Import4T($C44,$D44,$E44,$F44)</f>
        <v>0</v>
      </c>
      <c r="S44" s="50"/>
      <c r="T44" s="50"/>
      <c r="U44" s="18">
        <f t="shared" ref="U44:U49" si="46">SUM($I44,$L44,$O44,$R44)</f>
        <v>0</v>
      </c>
    </row>
    <row r="45" spans="2:21" ht="15" customHeight="1">
      <c r="B45" s="27" t="s">
        <v>97</v>
      </c>
      <c r="C45" s="32"/>
      <c r="D45" s="120"/>
      <c r="E45" s="32"/>
      <c r="F45" s="120"/>
      <c r="G45" s="17"/>
      <c r="H45" s="49"/>
      <c r="I45" s="71">
        <f t="shared" ref="I45:I49" si="47">Import1T($C45,$D45,$E45,$F45)</f>
        <v>0</v>
      </c>
      <c r="J45" s="50"/>
      <c r="K45" s="50"/>
      <c r="L45" s="17">
        <f t="shared" si="43"/>
        <v>0</v>
      </c>
      <c r="M45" s="50"/>
      <c r="N45" s="50"/>
      <c r="O45" s="17">
        <f t="shared" si="44"/>
        <v>0</v>
      </c>
      <c r="P45" s="50"/>
      <c r="Q45" s="50"/>
      <c r="R45" s="17">
        <f t="shared" si="45"/>
        <v>0</v>
      </c>
      <c r="S45" s="50"/>
      <c r="T45" s="50"/>
      <c r="U45" s="18">
        <f t="shared" si="46"/>
        <v>0</v>
      </c>
    </row>
    <row r="46" spans="2:21" ht="15" customHeight="1">
      <c r="B46" s="27" t="s">
        <v>87</v>
      </c>
      <c r="C46" s="32"/>
      <c r="D46" s="120"/>
      <c r="E46" s="32"/>
      <c r="F46" s="120"/>
      <c r="G46" s="127"/>
      <c r="H46" s="46"/>
      <c r="I46" s="71">
        <f t="shared" si="47"/>
        <v>0</v>
      </c>
      <c r="J46" s="50">
        <f>CalcIva($G46,$H46,$I46)</f>
        <v>0</v>
      </c>
      <c r="K46" s="50"/>
      <c r="L46" s="17">
        <f t="shared" si="43"/>
        <v>0</v>
      </c>
      <c r="M46" s="50">
        <f>CalcIva($G46,$H46,$L46)</f>
        <v>0</v>
      </c>
      <c r="N46" s="50"/>
      <c r="O46" s="17">
        <f t="shared" si="44"/>
        <v>0</v>
      </c>
      <c r="P46" s="50">
        <f>CalcIva($G46,$H46,$O46)</f>
        <v>0</v>
      </c>
      <c r="Q46" s="50"/>
      <c r="R46" s="17">
        <f t="shared" si="45"/>
        <v>0</v>
      </c>
      <c r="S46" s="50">
        <f>CalcIva($G46,$H46,$R46)</f>
        <v>0</v>
      </c>
      <c r="T46" s="50"/>
      <c r="U46" s="18">
        <f t="shared" si="46"/>
        <v>0</v>
      </c>
    </row>
    <row r="47" spans="2:21" ht="15" customHeight="1">
      <c r="B47" s="27" t="s">
        <v>86</v>
      </c>
      <c r="C47" s="36"/>
      <c r="D47" s="120"/>
      <c r="E47" s="36"/>
      <c r="F47" s="122"/>
      <c r="G47" s="128"/>
      <c r="H47" s="19"/>
      <c r="I47" s="19">
        <f t="shared" si="47"/>
        <v>0</v>
      </c>
      <c r="J47" s="52">
        <f>CalcIva($G47,$H47,$I47)</f>
        <v>0</v>
      </c>
      <c r="K47" s="50"/>
      <c r="L47" s="19">
        <f t="shared" si="43"/>
        <v>0</v>
      </c>
      <c r="M47" s="52">
        <f>CalcIva($G47,$H47,$L47)</f>
        <v>0</v>
      </c>
      <c r="N47" s="50"/>
      <c r="O47" s="19">
        <f t="shared" si="44"/>
        <v>0</v>
      </c>
      <c r="P47" s="52">
        <f>CalcIva($G47,$H47,$O47)</f>
        <v>0</v>
      </c>
      <c r="Q47" s="50"/>
      <c r="R47" s="19">
        <f t="shared" si="45"/>
        <v>0</v>
      </c>
      <c r="S47" s="52">
        <f>CalcIva($G47,$H47,$R47)</f>
        <v>0</v>
      </c>
      <c r="T47" s="50"/>
      <c r="U47" s="45">
        <f t="shared" si="46"/>
        <v>0</v>
      </c>
    </row>
    <row r="48" spans="2:21" ht="15" customHeight="1">
      <c r="B48" s="27" t="s">
        <v>116</v>
      </c>
      <c r="C48" s="36"/>
      <c r="D48" s="120"/>
      <c r="E48" s="36"/>
      <c r="F48" s="121"/>
      <c r="G48" s="125"/>
      <c r="H48" s="125"/>
      <c r="I48" s="19">
        <f t="shared" si="47"/>
        <v>0</v>
      </c>
      <c r="J48" s="52">
        <f t="shared" ref="J48:J49" si="48">CalcIva($G48,$H48,$I48)</f>
        <v>0</v>
      </c>
      <c r="K48" s="50">
        <f>CalcIrpf($G48,$H48,$I48)</f>
        <v>0</v>
      </c>
      <c r="L48" s="19">
        <f t="shared" si="43"/>
        <v>0</v>
      </c>
      <c r="M48" s="52">
        <f t="shared" ref="M48:M49" si="49">CalcIva($G48,$H48,$L48)</f>
        <v>0</v>
      </c>
      <c r="N48" s="50">
        <f>CalcIrpf($G48,$H48,$L48)</f>
        <v>0</v>
      </c>
      <c r="O48" s="19">
        <f t="shared" si="44"/>
        <v>0</v>
      </c>
      <c r="P48" s="52">
        <f t="shared" ref="P48:P49" si="50">CalcIva($G48,$H48,$O48)</f>
        <v>0</v>
      </c>
      <c r="Q48" s="50">
        <f t="shared" ref="Q48:Q49" si="51">CalcIrpf($G48,$H48,$O48)</f>
        <v>0</v>
      </c>
      <c r="R48" s="19">
        <f t="shared" si="45"/>
        <v>0</v>
      </c>
      <c r="S48" s="52">
        <f t="shared" ref="S48:S49" si="52">CalcIva($G48,$H48,$R48)</f>
        <v>0</v>
      </c>
      <c r="T48" s="50">
        <f>CalcIrpf($G48,$H48,$R48)</f>
        <v>0</v>
      </c>
      <c r="U48" s="45">
        <f t="shared" si="46"/>
        <v>0</v>
      </c>
    </row>
    <row r="49" spans="2:21" ht="15" customHeight="1">
      <c r="B49" s="100"/>
      <c r="C49" s="36"/>
      <c r="D49" s="119"/>
      <c r="E49" s="36"/>
      <c r="F49" s="119"/>
      <c r="G49" s="126"/>
      <c r="H49" s="126"/>
      <c r="I49" s="19">
        <f t="shared" si="47"/>
        <v>0</v>
      </c>
      <c r="J49" s="52">
        <f t="shared" si="48"/>
        <v>0</v>
      </c>
      <c r="K49" s="54">
        <f>CalcIrpf($G49,$H49,$I49)</f>
        <v>0</v>
      </c>
      <c r="L49" s="19">
        <f t="shared" si="43"/>
        <v>0</v>
      </c>
      <c r="M49" s="52">
        <f t="shared" si="49"/>
        <v>0</v>
      </c>
      <c r="N49" s="54">
        <f>CalcIrpf($G49,$H49,$L49)</f>
        <v>0</v>
      </c>
      <c r="O49" s="19">
        <f t="shared" si="44"/>
        <v>0</v>
      </c>
      <c r="P49" s="52">
        <f t="shared" si="50"/>
        <v>0</v>
      </c>
      <c r="Q49" s="54">
        <f t="shared" si="51"/>
        <v>0</v>
      </c>
      <c r="R49" s="19">
        <f t="shared" si="45"/>
        <v>0</v>
      </c>
      <c r="S49" s="52">
        <f t="shared" si="52"/>
        <v>0</v>
      </c>
      <c r="T49" s="54">
        <f>CalcIrpf($G49,$H49,$R49)</f>
        <v>0</v>
      </c>
      <c r="U49" s="45">
        <f t="shared" si="46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 t="shared" ref="I50:T50" si="53">SUM(I8,I14,I16,I19,I26,I39,I43)</f>
        <v>0</v>
      </c>
      <c r="J50" s="41">
        <f>SUM(J8,J14,J16,J19,J26,J39,J43)</f>
        <v>0</v>
      </c>
      <c r="K50" s="41">
        <f>SUM(K8,K14,K16,K19,K26,K39,K43)</f>
        <v>0</v>
      </c>
      <c r="L50" s="41">
        <f t="shared" si="53"/>
        <v>0</v>
      </c>
      <c r="M50" s="41">
        <f>SUM(M8,M14,M16,M19,M26,M39,M43)</f>
        <v>0</v>
      </c>
      <c r="N50" s="41">
        <f>SUM(N8,N14,N16,N19,N26,N39,N43)</f>
        <v>0</v>
      </c>
      <c r="O50" s="41">
        <f t="shared" si="53"/>
        <v>0</v>
      </c>
      <c r="P50" s="41">
        <f>SUM(P8,P14,P16,P19,P26,P39,P43)</f>
        <v>0</v>
      </c>
      <c r="Q50" s="41">
        <f>SUM(Q8,Q14,Q16,Q19,Q26,Q39,Q43)</f>
        <v>0</v>
      </c>
      <c r="R50" s="41">
        <f t="shared" si="53"/>
        <v>0</v>
      </c>
      <c r="S50" s="41">
        <f>SUM(S8,S14,S16,S19,S26,S39,S43)</f>
        <v>0</v>
      </c>
      <c r="T50" s="41">
        <f>SUM(T8,T14,T16,T19,T26,T39,T43)</f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39" t="s">
        <v>30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4">SUM(J55:J59)</f>
        <v>0</v>
      </c>
      <c r="K54" s="41">
        <f t="shared" si="54"/>
        <v>0</v>
      </c>
      <c r="L54" s="41">
        <f>SUM(L55:L59)</f>
        <v>0</v>
      </c>
      <c r="M54" s="41">
        <f t="shared" ref="M54:N54" si="55">SUM(M55:M59)</f>
        <v>0</v>
      </c>
      <c r="N54" s="41">
        <f t="shared" si="55"/>
        <v>0</v>
      </c>
      <c r="O54" s="41">
        <f>SUM(O55:O59)</f>
        <v>0</v>
      </c>
      <c r="P54" s="41">
        <f t="shared" ref="P54:Q54" si="56">SUM(P55:P59)</f>
        <v>0</v>
      </c>
      <c r="Q54" s="41">
        <f t="shared" si="56"/>
        <v>0</v>
      </c>
      <c r="R54" s="41">
        <f>SUM(R55:R59)</f>
        <v>0</v>
      </c>
      <c r="S54" s="41">
        <f t="shared" ref="S54:T54" si="57">SUM(S55:S59)</f>
        <v>0</v>
      </c>
      <c r="T54" s="41">
        <f t="shared" si="57"/>
        <v>0</v>
      </c>
      <c r="U54" s="48">
        <f>SUM(U55:U59)</f>
        <v>0</v>
      </c>
    </row>
    <row r="55" spans="2:21" ht="15" customHeight="1">
      <c r="B55" s="98" t="s">
        <v>72</v>
      </c>
      <c r="C55" s="28"/>
      <c r="D55" s="120"/>
      <c r="E55" s="28"/>
      <c r="F55" s="120"/>
      <c r="G55" s="124"/>
      <c r="H55" s="17"/>
      <c r="I55" s="17">
        <f t="shared" ref="I55:I59" si="58">Import1T($C55,$D55,$E55,$F55)</f>
        <v>0</v>
      </c>
      <c r="J55" s="50">
        <f t="shared" ref="J55:J59" si="59">CalcIva($G55,$H55,$I55)</f>
        <v>0</v>
      </c>
      <c r="K55" s="50"/>
      <c r="L55" s="17">
        <f t="shared" ref="L55:L59" si="60">Import2T($C55,$D55,$E55,$F55)</f>
        <v>0</v>
      </c>
      <c r="M55" s="50">
        <f t="shared" ref="M55:M59" si="61">CalcIva($G55,$H55,$L55)</f>
        <v>0</v>
      </c>
      <c r="N55" s="50"/>
      <c r="O55" s="17">
        <f t="shared" ref="O55:O59" si="62">Import3T($C55,$D55,$E55,$F55)</f>
        <v>0</v>
      </c>
      <c r="P55" s="50">
        <f t="shared" ref="P55:P59" si="63">CalcIva($G55,$H55,$O55)</f>
        <v>0</v>
      </c>
      <c r="Q55" s="50"/>
      <c r="R55" s="17">
        <f t="shared" ref="R55:R59" si="64">Import4T($C55,$D55,$E55,$F55)</f>
        <v>0</v>
      </c>
      <c r="S55" s="50">
        <f t="shared" ref="S55:S59" si="65">CalcIva($G55,$H55,$R55)</f>
        <v>0</v>
      </c>
      <c r="T55" s="50"/>
      <c r="U55" s="18">
        <f t="shared" ref="U55:U59" si="66">SUM($I55,$L55,$O55,$R55)</f>
        <v>0</v>
      </c>
    </row>
    <row r="56" spans="2:21" ht="15" customHeight="1">
      <c r="B56" s="100" t="s">
        <v>73</v>
      </c>
      <c r="C56" s="32"/>
      <c r="D56" s="120"/>
      <c r="E56" s="32"/>
      <c r="F56" s="121"/>
      <c r="G56" s="125"/>
      <c r="H56" s="17"/>
      <c r="I56" s="17">
        <f t="shared" si="58"/>
        <v>0</v>
      </c>
      <c r="J56" s="50">
        <f t="shared" si="59"/>
        <v>0</v>
      </c>
      <c r="K56" s="50"/>
      <c r="L56" s="17">
        <f t="shared" si="60"/>
        <v>0</v>
      </c>
      <c r="M56" s="50">
        <f t="shared" si="61"/>
        <v>0</v>
      </c>
      <c r="N56" s="50"/>
      <c r="O56" s="17">
        <f t="shared" si="62"/>
        <v>0</v>
      </c>
      <c r="P56" s="50">
        <f t="shared" si="63"/>
        <v>0</v>
      </c>
      <c r="Q56" s="50"/>
      <c r="R56" s="17">
        <f t="shared" si="64"/>
        <v>0</v>
      </c>
      <c r="S56" s="50">
        <f t="shared" si="65"/>
        <v>0</v>
      </c>
      <c r="T56" s="50"/>
      <c r="U56" s="18">
        <f t="shared" si="66"/>
        <v>0</v>
      </c>
    </row>
    <row r="57" spans="2:21" ht="15" customHeight="1">
      <c r="B57" s="100" t="s">
        <v>74</v>
      </c>
      <c r="C57" s="32"/>
      <c r="D57" s="120"/>
      <c r="E57" s="32"/>
      <c r="F57" s="121"/>
      <c r="G57" s="125"/>
      <c r="H57" s="17"/>
      <c r="I57" s="17">
        <f t="shared" si="58"/>
        <v>0</v>
      </c>
      <c r="J57" s="50">
        <f t="shared" si="59"/>
        <v>0</v>
      </c>
      <c r="K57" s="50"/>
      <c r="L57" s="17">
        <f t="shared" si="60"/>
        <v>0</v>
      </c>
      <c r="M57" s="50">
        <f t="shared" si="61"/>
        <v>0</v>
      </c>
      <c r="N57" s="50"/>
      <c r="O57" s="17">
        <f t="shared" si="62"/>
        <v>0</v>
      </c>
      <c r="P57" s="50">
        <f t="shared" si="63"/>
        <v>0</v>
      </c>
      <c r="Q57" s="50"/>
      <c r="R57" s="17">
        <f t="shared" si="64"/>
        <v>0</v>
      </c>
      <c r="S57" s="50">
        <f t="shared" si="65"/>
        <v>0</v>
      </c>
      <c r="T57" s="50"/>
      <c r="U57" s="18">
        <f t="shared" si="66"/>
        <v>0</v>
      </c>
    </row>
    <row r="58" spans="2:21" ht="15" customHeight="1">
      <c r="B58" s="100" t="s">
        <v>76</v>
      </c>
      <c r="C58" s="32"/>
      <c r="D58" s="120"/>
      <c r="E58" s="32"/>
      <c r="F58" s="121"/>
      <c r="G58" s="125"/>
      <c r="H58" s="17"/>
      <c r="I58" s="17">
        <f t="shared" si="58"/>
        <v>0</v>
      </c>
      <c r="J58" s="50">
        <f t="shared" si="59"/>
        <v>0</v>
      </c>
      <c r="K58" s="50"/>
      <c r="L58" s="17">
        <f t="shared" si="60"/>
        <v>0</v>
      </c>
      <c r="M58" s="50">
        <f t="shared" si="61"/>
        <v>0</v>
      </c>
      <c r="N58" s="50"/>
      <c r="O58" s="17">
        <f t="shared" si="62"/>
        <v>0</v>
      </c>
      <c r="P58" s="50">
        <f t="shared" si="63"/>
        <v>0</v>
      </c>
      <c r="Q58" s="50"/>
      <c r="R58" s="17">
        <f t="shared" si="64"/>
        <v>0</v>
      </c>
      <c r="S58" s="50">
        <f t="shared" si="65"/>
        <v>0</v>
      </c>
      <c r="T58" s="50"/>
      <c r="U58" s="18">
        <f t="shared" si="66"/>
        <v>0</v>
      </c>
    </row>
    <row r="59" spans="2:21" ht="15" customHeight="1">
      <c r="B59" s="100" t="s">
        <v>77</v>
      </c>
      <c r="C59" s="36"/>
      <c r="D59" s="119"/>
      <c r="E59" s="36"/>
      <c r="F59" s="119"/>
      <c r="G59" s="126"/>
      <c r="H59" s="19"/>
      <c r="I59" s="19">
        <f t="shared" si="58"/>
        <v>0</v>
      </c>
      <c r="J59" s="54">
        <f t="shared" si="59"/>
        <v>0</v>
      </c>
      <c r="K59" s="54"/>
      <c r="L59" s="46">
        <f t="shared" si="60"/>
        <v>0</v>
      </c>
      <c r="M59" s="54">
        <f t="shared" si="61"/>
        <v>0</v>
      </c>
      <c r="N59" s="54"/>
      <c r="O59" s="46">
        <f t="shared" si="62"/>
        <v>0</v>
      </c>
      <c r="P59" s="54">
        <f t="shared" si="63"/>
        <v>0</v>
      </c>
      <c r="Q59" s="54"/>
      <c r="R59" s="46">
        <f t="shared" si="64"/>
        <v>0</v>
      </c>
      <c r="S59" s="54">
        <f t="shared" si="65"/>
        <v>0</v>
      </c>
      <c r="T59" s="54"/>
      <c r="U59" s="47">
        <f t="shared" si="66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67">SUM(J61:J62)</f>
        <v>0</v>
      </c>
      <c r="K60" s="41">
        <f t="shared" si="67"/>
        <v>0</v>
      </c>
      <c r="L60" s="41">
        <f t="shared" si="67"/>
        <v>0</v>
      </c>
      <c r="M60" s="41">
        <f t="shared" si="67"/>
        <v>0</v>
      </c>
      <c r="N60" s="41">
        <f t="shared" si="67"/>
        <v>0</v>
      </c>
      <c r="O60" s="41">
        <f t="shared" si="67"/>
        <v>0</v>
      </c>
      <c r="P60" s="41">
        <f t="shared" si="67"/>
        <v>0</v>
      </c>
      <c r="Q60" s="41">
        <f t="shared" si="67"/>
        <v>0</v>
      </c>
      <c r="R60" s="41">
        <f t="shared" si="67"/>
        <v>0</v>
      </c>
      <c r="S60" s="41">
        <f t="shared" si="67"/>
        <v>0</v>
      </c>
      <c r="T60" s="41">
        <f t="shared" si="67"/>
        <v>0</v>
      </c>
      <c r="U60" s="48">
        <f t="shared" si="67"/>
        <v>0</v>
      </c>
    </row>
    <row r="61" spans="2:21" ht="15" customHeight="1">
      <c r="B61" s="98" t="s">
        <v>75</v>
      </c>
      <c r="C61" s="28"/>
      <c r="D61" s="120"/>
      <c r="E61" s="28"/>
      <c r="F61" s="120"/>
      <c r="G61" s="124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36"/>
      <c r="D62" s="119"/>
      <c r="E62" s="36"/>
      <c r="F62" s="119"/>
      <c r="G62" s="126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8">SUM(J64:J67)</f>
        <v>0</v>
      </c>
      <c r="K63" s="41">
        <f t="shared" si="68"/>
        <v>0</v>
      </c>
      <c r="L63" s="41">
        <f t="shared" si="68"/>
        <v>0</v>
      </c>
      <c r="M63" s="41">
        <f t="shared" si="68"/>
        <v>0</v>
      </c>
      <c r="N63" s="41">
        <f t="shared" si="68"/>
        <v>0</v>
      </c>
      <c r="O63" s="41">
        <f t="shared" si="68"/>
        <v>0</v>
      </c>
      <c r="P63" s="41">
        <f t="shared" si="68"/>
        <v>0</v>
      </c>
      <c r="Q63" s="41">
        <f t="shared" si="68"/>
        <v>0</v>
      </c>
      <c r="R63" s="41">
        <f>SUM(R64:R67)</f>
        <v>0</v>
      </c>
      <c r="S63" s="41">
        <f t="shared" ref="S63:T63" si="69">SUM(S64:S67)</f>
        <v>0</v>
      </c>
      <c r="T63" s="41">
        <f t="shared" si="69"/>
        <v>0</v>
      </c>
      <c r="U63" s="48">
        <f>SUM(U64:U67)</f>
        <v>0</v>
      </c>
    </row>
    <row r="64" spans="2:21" ht="15" customHeight="1">
      <c r="B64" s="98" t="s">
        <v>75</v>
      </c>
      <c r="C64" s="28"/>
      <c r="D64" s="120"/>
      <c r="E64" s="28"/>
      <c r="F64" s="120"/>
      <c r="G64" s="124"/>
      <c r="H64" s="124"/>
      <c r="I64" s="17">
        <f t="shared" ref="I64:I70" si="70">Import1T($C64,$D64,$E64,$F64)</f>
        <v>0</v>
      </c>
      <c r="J64" s="50">
        <f t="shared" ref="J64:J67" si="71">CalcIva($G64,$H64,$I64)</f>
        <v>0</v>
      </c>
      <c r="K64" s="50">
        <f t="shared" ref="K64:K67" si="72">CalcIrpf($G64,$H64,$I64)</f>
        <v>0</v>
      </c>
      <c r="L64" s="17">
        <f t="shared" ref="L64:L70" si="73">Import2T($C64,$D64,$E64,$F64)</f>
        <v>0</v>
      </c>
      <c r="M64" s="50">
        <f t="shared" ref="M64:M67" si="74">CalcIva($G64,$H64,$L64)</f>
        <v>0</v>
      </c>
      <c r="N64" s="50">
        <f t="shared" ref="N64:N67" si="75">CalcIrpf($G64,$H64,$L64)</f>
        <v>0</v>
      </c>
      <c r="O64" s="17">
        <f t="shared" ref="O64:O70" si="76">Import3T($C64,$D64,$E64,$F64)</f>
        <v>0</v>
      </c>
      <c r="P64" s="50">
        <f t="shared" ref="P64:P67" si="77">CalcIva($G64,$H64,$O64)</f>
        <v>0</v>
      </c>
      <c r="Q64" s="50">
        <f t="shared" ref="Q64:Q67" si="78">CalcIrpf($G64,$H64,$O64)</f>
        <v>0</v>
      </c>
      <c r="R64" s="17">
        <f t="shared" ref="R64:R70" si="79">Import4T($C64,$D64,$E64,$F64)</f>
        <v>0</v>
      </c>
      <c r="S64" s="50">
        <f t="shared" ref="S64:S67" si="80">CalcIva($G64,$H64,$R64)</f>
        <v>0</v>
      </c>
      <c r="T64" s="50">
        <f t="shared" ref="T64:T67" si="81">CalcIrpf($G64,$H64,$R64)</f>
        <v>0</v>
      </c>
      <c r="U64" s="18">
        <f t="shared" ref="U64:U70" si="82">SUM($I64,$L64,$O64,$R64)</f>
        <v>0</v>
      </c>
    </row>
    <row r="65" spans="2:24" ht="15" customHeight="1">
      <c r="B65" s="100" t="s">
        <v>75</v>
      </c>
      <c r="C65" s="28"/>
      <c r="D65" s="120"/>
      <c r="E65" s="32"/>
      <c r="F65" s="121"/>
      <c r="G65" s="125"/>
      <c r="H65" s="125"/>
      <c r="I65" s="17">
        <f t="shared" si="70"/>
        <v>0</v>
      </c>
      <c r="J65" s="50">
        <f t="shared" si="71"/>
        <v>0</v>
      </c>
      <c r="K65" s="50">
        <f t="shared" si="72"/>
        <v>0</v>
      </c>
      <c r="L65" s="17">
        <f t="shared" si="73"/>
        <v>0</v>
      </c>
      <c r="M65" s="50">
        <f t="shared" si="74"/>
        <v>0</v>
      </c>
      <c r="N65" s="50">
        <f t="shared" si="75"/>
        <v>0</v>
      </c>
      <c r="O65" s="17">
        <f t="shared" si="76"/>
        <v>0</v>
      </c>
      <c r="P65" s="50">
        <f t="shared" si="77"/>
        <v>0</v>
      </c>
      <c r="Q65" s="50">
        <f t="shared" si="78"/>
        <v>0</v>
      </c>
      <c r="R65" s="17">
        <f t="shared" si="79"/>
        <v>0</v>
      </c>
      <c r="S65" s="50">
        <f t="shared" si="80"/>
        <v>0</v>
      </c>
      <c r="T65" s="50">
        <f t="shared" si="81"/>
        <v>0</v>
      </c>
      <c r="U65" s="18">
        <f t="shared" si="82"/>
        <v>0</v>
      </c>
    </row>
    <row r="66" spans="2:24" ht="15" customHeight="1">
      <c r="B66" s="100" t="s">
        <v>75</v>
      </c>
      <c r="C66" s="28"/>
      <c r="D66" s="120"/>
      <c r="E66" s="32"/>
      <c r="F66" s="121"/>
      <c r="G66" s="125"/>
      <c r="H66" s="125"/>
      <c r="I66" s="17">
        <f t="shared" si="70"/>
        <v>0</v>
      </c>
      <c r="J66" s="50">
        <f t="shared" si="71"/>
        <v>0</v>
      </c>
      <c r="K66" s="50">
        <f t="shared" si="72"/>
        <v>0</v>
      </c>
      <c r="L66" s="17">
        <f t="shared" si="73"/>
        <v>0</v>
      </c>
      <c r="M66" s="50">
        <f t="shared" si="74"/>
        <v>0</v>
      </c>
      <c r="N66" s="50">
        <f t="shared" si="75"/>
        <v>0</v>
      </c>
      <c r="O66" s="17">
        <f t="shared" si="76"/>
        <v>0</v>
      </c>
      <c r="P66" s="50">
        <f t="shared" si="77"/>
        <v>0</v>
      </c>
      <c r="Q66" s="50">
        <f t="shared" si="78"/>
        <v>0</v>
      </c>
      <c r="R66" s="17">
        <f t="shared" si="79"/>
        <v>0</v>
      </c>
      <c r="S66" s="50">
        <f t="shared" si="80"/>
        <v>0</v>
      </c>
      <c r="T66" s="50">
        <f t="shared" si="81"/>
        <v>0</v>
      </c>
      <c r="U66" s="18">
        <f t="shared" si="82"/>
        <v>0</v>
      </c>
    </row>
    <row r="67" spans="2:24" ht="15" customHeight="1">
      <c r="B67" s="100" t="s">
        <v>75</v>
      </c>
      <c r="C67" s="36"/>
      <c r="D67" s="119"/>
      <c r="E67" s="36"/>
      <c r="F67" s="119"/>
      <c r="G67" s="126"/>
      <c r="H67" s="126"/>
      <c r="I67" s="19">
        <f t="shared" si="70"/>
        <v>0</v>
      </c>
      <c r="J67" s="52">
        <f t="shared" si="71"/>
        <v>0</v>
      </c>
      <c r="K67" s="52">
        <f t="shared" si="72"/>
        <v>0</v>
      </c>
      <c r="L67" s="19">
        <f t="shared" si="73"/>
        <v>0</v>
      </c>
      <c r="M67" s="52">
        <f t="shared" si="74"/>
        <v>0</v>
      </c>
      <c r="N67" s="52">
        <f t="shared" si="75"/>
        <v>0</v>
      </c>
      <c r="O67" s="19">
        <f t="shared" si="76"/>
        <v>0</v>
      </c>
      <c r="P67" s="52">
        <f t="shared" si="77"/>
        <v>0</v>
      </c>
      <c r="Q67" s="52">
        <f t="shared" si="78"/>
        <v>0</v>
      </c>
      <c r="R67" s="19">
        <f t="shared" si="79"/>
        <v>0</v>
      </c>
      <c r="S67" s="52">
        <f t="shared" si="80"/>
        <v>0</v>
      </c>
      <c r="T67" s="52">
        <f t="shared" si="81"/>
        <v>0</v>
      </c>
      <c r="U67" s="45">
        <f t="shared" si="82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3">SUM(J69:J70)</f>
        <v>0</v>
      </c>
      <c r="K68" s="41">
        <f t="shared" si="83"/>
        <v>0</v>
      </c>
      <c r="L68" s="41">
        <f t="shared" si="83"/>
        <v>0</v>
      </c>
      <c r="M68" s="41">
        <f t="shared" si="83"/>
        <v>0</v>
      </c>
      <c r="N68" s="41">
        <f t="shared" si="83"/>
        <v>0</v>
      </c>
      <c r="O68" s="41">
        <f t="shared" si="83"/>
        <v>0</v>
      </c>
      <c r="P68" s="41">
        <f t="shared" si="83"/>
        <v>0</v>
      </c>
      <c r="Q68" s="41">
        <f t="shared" si="83"/>
        <v>0</v>
      </c>
      <c r="R68" s="41">
        <f t="shared" si="83"/>
        <v>0</v>
      </c>
      <c r="S68" s="41">
        <f t="shared" si="83"/>
        <v>0</v>
      </c>
      <c r="T68" s="41">
        <f t="shared" si="83"/>
        <v>0</v>
      </c>
      <c r="U68" s="48">
        <f>SUM(U69:U70)</f>
        <v>0</v>
      </c>
    </row>
    <row r="69" spans="2:24" ht="15.95" customHeight="1">
      <c r="B69" s="24" t="s">
        <v>83</v>
      </c>
      <c r="C69" s="28"/>
      <c r="D69" s="120"/>
      <c r="E69" s="28"/>
      <c r="F69" s="120"/>
      <c r="G69" s="124"/>
      <c r="H69" s="124"/>
      <c r="I69" s="17">
        <f t="shared" si="70"/>
        <v>0</v>
      </c>
      <c r="J69" s="50">
        <f t="shared" ref="J69:J70" si="84">CalcIva($G69,$H69,$I69)</f>
        <v>0</v>
      </c>
      <c r="K69" s="50">
        <f t="shared" ref="K69" si="85">CalcIrpf($G69,$H69,$I69)</f>
        <v>0</v>
      </c>
      <c r="L69" s="17">
        <f t="shared" si="73"/>
        <v>0</v>
      </c>
      <c r="M69" s="50">
        <f>CalcIva($G69,$H69,$L69)</f>
        <v>0</v>
      </c>
      <c r="N69" s="50">
        <f>CalcIrpf($G69,$H69,$L69)</f>
        <v>0</v>
      </c>
      <c r="O69" s="17">
        <f t="shared" si="76"/>
        <v>0</v>
      </c>
      <c r="P69" s="50">
        <f>CalcIva($G69,$H69,$O69)</f>
        <v>0</v>
      </c>
      <c r="Q69" s="50">
        <f>CalcIrpf($G69,$H69,$O69)</f>
        <v>0</v>
      </c>
      <c r="R69" s="17">
        <f t="shared" si="79"/>
        <v>0</v>
      </c>
      <c r="S69" s="50">
        <f>CalcIva($G69,$H69,$R69)</f>
        <v>0</v>
      </c>
      <c r="T69" s="50">
        <f>CalcIrpf($G69,$H69,$R69)</f>
        <v>0</v>
      </c>
      <c r="U69" s="18">
        <f t="shared" si="82"/>
        <v>0</v>
      </c>
      <c r="W69" s="8"/>
      <c r="X69" s="8"/>
    </row>
    <row r="70" spans="2:24" ht="15.95" customHeight="1">
      <c r="B70" s="46" t="s">
        <v>113</v>
      </c>
      <c r="C70" s="28"/>
      <c r="D70" s="120"/>
      <c r="E70" s="28"/>
      <c r="F70" s="121"/>
      <c r="G70" s="126"/>
      <c r="H70" s="19"/>
      <c r="I70" s="19">
        <f t="shared" si="70"/>
        <v>0</v>
      </c>
      <c r="J70" s="54">
        <f t="shared" si="84"/>
        <v>0</v>
      </c>
      <c r="K70" s="54"/>
      <c r="L70" s="19">
        <f t="shared" si="73"/>
        <v>0</v>
      </c>
      <c r="M70" s="54">
        <f t="shared" ref="M70" si="86">CalcIva($G70,$H70,$L70)</f>
        <v>0</v>
      </c>
      <c r="N70" s="54"/>
      <c r="O70" s="19">
        <f t="shared" si="76"/>
        <v>0</v>
      </c>
      <c r="P70" s="54">
        <f t="shared" ref="P70" si="87">CalcIva($G70,$H70,$O70)</f>
        <v>0</v>
      </c>
      <c r="Q70" s="54"/>
      <c r="R70" s="19">
        <f t="shared" si="79"/>
        <v>0</v>
      </c>
      <c r="S70" s="54">
        <f t="shared" ref="S70" si="88">CalcIva($G70,$H70,$R70)</f>
        <v>0</v>
      </c>
      <c r="T70" s="54"/>
      <c r="U70" s="45">
        <f t="shared" si="82"/>
        <v>0</v>
      </c>
      <c r="W70" s="8"/>
      <c r="X70" s="8"/>
    </row>
    <row r="71" spans="2:24" ht="8.1" customHeight="1">
      <c r="B71" s="52"/>
      <c r="C71" s="112"/>
      <c r="D71" s="113"/>
      <c r="E71" s="112"/>
      <c r="F71" s="113"/>
      <c r="G71" s="114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58" t="s">
        <v>104</v>
      </c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7" t="s">
        <v>111</v>
      </c>
      <c r="C74" s="28"/>
      <c r="D74" s="120"/>
      <c r="E74" s="28"/>
      <c r="F74" s="120"/>
      <c r="G74" s="107"/>
      <c r="H74" s="107"/>
      <c r="I74" s="46">
        <f t="shared" ref="I74:I75" si="89">Import1T($C74,$D74,$E74,$F74)</f>
        <v>0</v>
      </c>
      <c r="J74" s="54"/>
      <c r="K74" s="54"/>
      <c r="L74" s="46">
        <f t="shared" ref="L74:L75" si="90">Import2T($C74,$D74,$E74,$F74)</f>
        <v>0</v>
      </c>
      <c r="M74" s="54"/>
      <c r="N74" s="54"/>
      <c r="O74" s="46">
        <f t="shared" ref="O74:O75" si="91">Import3T($C74,$D74,$E74,$F74)</f>
        <v>0</v>
      </c>
      <c r="P74" s="54"/>
      <c r="Q74" s="54"/>
      <c r="R74" s="46">
        <f t="shared" ref="R74:R75" si="92">Import4T($C74,$D74,$E74,$F74)</f>
        <v>0</v>
      </c>
      <c r="S74" s="54"/>
      <c r="T74" s="54"/>
      <c r="U74" s="47">
        <f t="shared" ref="U74:U75" si="93">SUM($I74,$L74,$O74,$R74)</f>
        <v>0</v>
      </c>
    </row>
    <row r="75" spans="2:24" ht="15.95" customHeight="1">
      <c r="B75" s="118" t="s">
        <v>112</v>
      </c>
      <c r="C75" s="36"/>
      <c r="D75" s="119"/>
      <c r="E75" s="36"/>
      <c r="F75" s="119"/>
      <c r="G75" s="108"/>
      <c r="H75" s="108"/>
      <c r="I75" s="19">
        <f t="shared" si="89"/>
        <v>0</v>
      </c>
      <c r="J75" s="54"/>
      <c r="K75" s="54"/>
      <c r="L75" s="19">
        <f t="shared" si="90"/>
        <v>0</v>
      </c>
      <c r="M75" s="54"/>
      <c r="N75" s="54"/>
      <c r="O75" s="19">
        <f t="shared" si="91"/>
        <v>0</v>
      </c>
      <c r="P75" s="54"/>
      <c r="Q75" s="54"/>
      <c r="R75" s="19">
        <f t="shared" si="92"/>
        <v>0</v>
      </c>
      <c r="S75" s="54"/>
      <c r="T75" s="54"/>
      <c r="U75" s="45">
        <f t="shared" si="93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7" t="s">
        <v>117</v>
      </c>
      <c r="C77" s="28"/>
      <c r="D77" s="120"/>
      <c r="E77" s="28"/>
      <c r="F77" s="120"/>
      <c r="G77" s="107"/>
      <c r="H77" s="107"/>
      <c r="I77" s="46">
        <f t="shared" ref="I77:I78" si="94">Import1T($C77,$D77,$E77,$F77)</f>
        <v>0</v>
      </c>
      <c r="J77" s="54"/>
      <c r="K77" s="54"/>
      <c r="L77" s="46">
        <f t="shared" ref="L77:L78" si="95">Import2T($C77,$D77,$E77,$F77)</f>
        <v>0</v>
      </c>
      <c r="M77" s="54"/>
      <c r="N77" s="54"/>
      <c r="O77" s="46">
        <f t="shared" ref="O77:O78" si="96">Import3T($C77,$D77,$E77,$F77)</f>
        <v>0</v>
      </c>
      <c r="P77" s="54"/>
      <c r="Q77" s="54"/>
      <c r="R77" s="46">
        <f t="shared" ref="R77:R78" si="97">Import4T($C77,$D77,$E77,$F77)</f>
        <v>0</v>
      </c>
      <c r="S77" s="54"/>
      <c r="T77" s="54"/>
      <c r="U77" s="47">
        <f t="shared" ref="U77:U78" si="98">SUM($I77,$L77,$O77,$R77)</f>
        <v>0</v>
      </c>
    </row>
    <row r="78" spans="2:24" ht="15.95" customHeight="1">
      <c r="B78" s="118" t="s">
        <v>114</v>
      </c>
      <c r="C78" s="36"/>
      <c r="D78" s="122"/>
      <c r="E78" s="36"/>
      <c r="F78" s="122"/>
      <c r="G78" s="108"/>
      <c r="H78" s="108"/>
      <c r="I78" s="19">
        <f t="shared" si="94"/>
        <v>0</v>
      </c>
      <c r="J78" s="54"/>
      <c r="K78" s="54"/>
      <c r="L78" s="19">
        <f t="shared" si="95"/>
        <v>0</v>
      </c>
      <c r="M78" s="54"/>
      <c r="N78" s="54"/>
      <c r="O78" s="19">
        <f t="shared" si="96"/>
        <v>0</v>
      </c>
      <c r="P78" s="54"/>
      <c r="Q78" s="54"/>
      <c r="R78" s="19">
        <f t="shared" si="97"/>
        <v>0</v>
      </c>
      <c r="S78" s="54"/>
      <c r="T78" s="54"/>
      <c r="U78" s="45">
        <f t="shared" si="98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>SUM(J54,J60,J63,J68)</f>
        <v>0</v>
      </c>
      <c r="K79" s="41">
        <f t="shared" ref="J79:T79" si="99">SUM(K54,K60,K63,K68)</f>
        <v>0</v>
      </c>
      <c r="L79" s="41">
        <f>SUM(L54,L60,L63,L68,L73,L76)</f>
        <v>0</v>
      </c>
      <c r="M79" s="41">
        <f t="shared" si="99"/>
        <v>0</v>
      </c>
      <c r="N79" s="41">
        <f>SUM(N54,N60,N63,N68)</f>
        <v>0</v>
      </c>
      <c r="O79" s="41">
        <f>SUM(O54,O60,O63,O68,O73,O76)</f>
        <v>0</v>
      </c>
      <c r="P79" s="41">
        <f t="shared" si="99"/>
        <v>0</v>
      </c>
      <c r="Q79" s="41">
        <f t="shared" si="99"/>
        <v>0</v>
      </c>
      <c r="R79" s="41">
        <f>SUM(R54,R60,R63,R68,R73,R76)</f>
        <v>0</v>
      </c>
      <c r="S79" s="41">
        <f t="shared" si="99"/>
        <v>0</v>
      </c>
      <c r="T79" s="41">
        <f t="shared" si="99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33"/>
      <c r="W80" s="4"/>
      <c r="X80" s="4"/>
    </row>
    <row r="81" spans="2:24" ht="26.25" customHeight="1">
      <c r="B81" s="156" t="s">
        <v>69</v>
      </c>
      <c r="C81" s="156"/>
      <c r="D81" s="156"/>
      <c r="E81" s="156"/>
      <c r="F81" s="157"/>
      <c r="G81" s="157"/>
      <c r="H81" s="157"/>
      <c r="I81" s="110">
        <f>I79-I50</f>
        <v>0</v>
      </c>
      <c r="J81" s="77"/>
      <c r="K81" s="77"/>
      <c r="L81" s="110">
        <f>IF(I$81 &lt; 0,(L$79-L$50),(L$79-L$50)+I$81)</f>
        <v>0</v>
      </c>
      <c r="M81" s="77"/>
      <c r="N81" s="77"/>
      <c r="O81" s="110">
        <f>IF(L$81 &lt; 0,(O$79-O$50),(O$79-O$50)+L$81)</f>
        <v>0</v>
      </c>
      <c r="P81" s="77"/>
      <c r="Q81" s="77"/>
      <c r="R81" s="110">
        <f>IF(O$81 &lt; 0,(R$79-R$50),(R$79-R$50)+O$81)</f>
        <v>0</v>
      </c>
      <c r="S81" s="95"/>
      <c r="T81" s="95"/>
      <c r="U81" s="133"/>
      <c r="W81" s="8"/>
      <c r="X81" s="8"/>
    </row>
    <row r="82" spans="2:24" ht="13.5" customHeight="1"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</row>
    <row r="83" spans="2:24" s="8" customFormat="1" ht="21.75" customHeight="1">
      <c r="B83" s="161" t="s">
        <v>78</v>
      </c>
      <c r="C83" s="161"/>
      <c r="D83" s="161"/>
      <c r="E83" s="161"/>
      <c r="F83" s="162" t="s">
        <v>67</v>
      </c>
      <c r="G83" s="162"/>
      <c r="H83" s="162"/>
      <c r="I83" s="130" t="s">
        <v>63</v>
      </c>
      <c r="J83" s="154" t="s">
        <v>64</v>
      </c>
      <c r="K83" s="154"/>
      <c r="L83" s="154"/>
      <c r="M83" s="154" t="s">
        <v>65</v>
      </c>
      <c r="N83" s="154"/>
      <c r="O83" s="154"/>
      <c r="P83" s="154" t="s">
        <v>66</v>
      </c>
      <c r="Q83" s="154"/>
      <c r="R83" s="154"/>
      <c r="S83" s="95"/>
      <c r="T83" s="95"/>
      <c r="U83" s="14" t="s">
        <v>81</v>
      </c>
      <c r="W83" s="4"/>
      <c r="X83" s="4"/>
    </row>
    <row r="84" spans="2:24" ht="15" customHeight="1">
      <c r="B84" s="11"/>
      <c r="C84" s="155" t="s">
        <v>7</v>
      </c>
      <c r="D84" s="155"/>
      <c r="E84" s="155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1"/>
      <c r="C85" s="159" t="s">
        <v>119</v>
      </c>
      <c r="D85" s="159"/>
      <c r="E85" s="159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1"/>
      <c r="C86" s="159" t="s">
        <v>80</v>
      </c>
      <c r="D86" s="159"/>
      <c r="E86" s="159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1"/>
      <c r="C87" s="159" t="s">
        <v>62</v>
      </c>
      <c r="D87" s="159"/>
      <c r="E87" s="159"/>
      <c r="F87" s="160">
        <f>E11</f>
        <v>0</v>
      </c>
      <c r="G87" s="160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B88" s="5"/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34"/>
    </row>
  </sheetData>
  <sheetProtection algorithmName="SHA-512" hashValue="I6NbMtBJu3aiiFLzoAX7qyIr2PGofwrbtY9n8JrPd1+k70PrajHPRxNkTVw6KoAQHTqh9BCMJmm6VWznzY/yLw==" saltValue="uIaVbKAQCqm1CsMG8jAjTg==" spinCount="100000" sheet="1" objects="1" scenarios="1"/>
  <mergeCells count="26">
    <mergeCell ref="C85:E85"/>
    <mergeCell ref="C86:E86"/>
    <mergeCell ref="C87:E87"/>
    <mergeCell ref="F87:G87"/>
    <mergeCell ref="B83:E83"/>
    <mergeCell ref="F83:H83"/>
    <mergeCell ref="B52:U52"/>
    <mergeCell ref="J83:L83"/>
    <mergeCell ref="M83:O83"/>
    <mergeCell ref="P83:R83"/>
    <mergeCell ref="C84:E84"/>
    <mergeCell ref="B81:E81"/>
    <mergeCell ref="F81:H81"/>
    <mergeCell ref="B72:U72"/>
    <mergeCell ref="C2:U2"/>
    <mergeCell ref="B7:U7"/>
    <mergeCell ref="B4:B6"/>
    <mergeCell ref="G4:G5"/>
    <mergeCell ref="H4:H5"/>
    <mergeCell ref="I4:R5"/>
    <mergeCell ref="U4:U6"/>
    <mergeCell ref="C5:C6"/>
    <mergeCell ref="D5:D6"/>
    <mergeCell ref="E5:E6"/>
    <mergeCell ref="C4:E4"/>
    <mergeCell ref="F4:F6"/>
  </mergeCells>
  <conditionalFormatting sqref="I9 I27:I42 L27:L42 O27:O42 R27:R42 H70:I71 B70:B71 L69:L71 O69:O71 R69:R71 U69:U71 L44:L47 O44:O47 R44:R47 G44:G45 I44:I47 U44:U47">
    <cfRule type="cellIs" dxfId="227" priority="182" operator="equal">
      <formula>0</formula>
    </cfRule>
  </conditionalFormatting>
  <conditionalFormatting sqref="L9:L11 O9:O11 R9:R11 R13 O13 L13">
    <cfRule type="cellIs" dxfId="226" priority="181" operator="equal">
      <formula>0</formula>
    </cfRule>
  </conditionalFormatting>
  <conditionalFormatting sqref="I10:I11 I13">
    <cfRule type="cellIs" dxfId="225" priority="180" operator="equal">
      <formula>0</formula>
    </cfRule>
  </conditionalFormatting>
  <conditionalFormatting sqref="I15 L15 O15 R15">
    <cfRule type="cellIs" dxfId="224" priority="179" operator="equal">
      <formula>0</formula>
    </cfRule>
  </conditionalFormatting>
  <conditionalFormatting sqref="I17:I18 L17:L18 O17:O18 R17:R18">
    <cfRule type="cellIs" dxfId="223" priority="178" operator="equal">
      <formula>0</formula>
    </cfRule>
  </conditionalFormatting>
  <conditionalFormatting sqref="I20:I25 L20:L25 O20:O25 R20:R25">
    <cfRule type="cellIs" dxfId="222" priority="177" operator="equal">
      <formula>0</formula>
    </cfRule>
  </conditionalFormatting>
  <conditionalFormatting sqref="I55:I62 R55:R62 O55:O62 L55:L62">
    <cfRule type="cellIs" dxfId="221" priority="175" operator="equal">
      <formula>0</formula>
    </cfRule>
  </conditionalFormatting>
  <conditionalFormatting sqref="I64:I67 R64:R67 O64:O67 L64:L67">
    <cfRule type="cellIs" dxfId="220" priority="174" operator="equal">
      <formula>0</formula>
    </cfRule>
  </conditionalFormatting>
  <conditionalFormatting sqref="I61:I62 R61:R62 O61:O62 L61:L62">
    <cfRule type="cellIs" dxfId="219" priority="173" operator="equal">
      <formula>0</formula>
    </cfRule>
  </conditionalFormatting>
  <conditionalFormatting sqref="U67">
    <cfRule type="cellIs" dxfId="218" priority="165" operator="equal">
      <formula>0</formula>
    </cfRule>
  </conditionalFormatting>
  <conditionalFormatting sqref="I8">
    <cfRule type="cellIs" dxfId="217" priority="163" operator="equal">
      <formula>0</formula>
    </cfRule>
  </conditionalFormatting>
  <conditionalFormatting sqref="L8 O8 R8">
    <cfRule type="cellIs" dxfId="216" priority="162" operator="equal">
      <formula>0</formula>
    </cfRule>
  </conditionalFormatting>
  <conditionalFormatting sqref="C14:T14">
    <cfRule type="cellIs" dxfId="215" priority="161" operator="equal">
      <formula>0</formula>
    </cfRule>
  </conditionalFormatting>
  <conditionalFormatting sqref="C16:T16">
    <cfRule type="cellIs" dxfId="214" priority="160" operator="equal">
      <formula>0</formula>
    </cfRule>
  </conditionalFormatting>
  <conditionalFormatting sqref="C19:R19">
    <cfRule type="cellIs" dxfId="213" priority="159" operator="equal">
      <formula>0</formula>
    </cfRule>
  </conditionalFormatting>
  <conditionalFormatting sqref="C26:T26">
    <cfRule type="cellIs" dxfId="212" priority="158" operator="equal">
      <formula>0</formula>
    </cfRule>
  </conditionalFormatting>
  <conditionalFormatting sqref="C43:T43">
    <cfRule type="cellIs" dxfId="211" priority="156" operator="equal">
      <formula>0</formula>
    </cfRule>
  </conditionalFormatting>
  <conditionalFormatting sqref="C50:T50">
    <cfRule type="cellIs" dxfId="210" priority="155" operator="equal">
      <formula>0</formula>
    </cfRule>
  </conditionalFormatting>
  <conditionalFormatting sqref="C54:T54">
    <cfRule type="cellIs" dxfId="209" priority="154" operator="equal">
      <formula>0</formula>
    </cfRule>
  </conditionalFormatting>
  <conditionalFormatting sqref="C63:T63">
    <cfRule type="cellIs" dxfId="208" priority="153" operator="equal">
      <formula>0</formula>
    </cfRule>
  </conditionalFormatting>
  <conditionalFormatting sqref="C60:T60">
    <cfRule type="cellIs" dxfId="207" priority="152" operator="equal">
      <formula>0</formula>
    </cfRule>
  </conditionalFormatting>
  <conditionalFormatting sqref="C79:T79">
    <cfRule type="cellIs" dxfId="206" priority="151" operator="equal">
      <formula>0</formula>
    </cfRule>
  </conditionalFormatting>
  <conditionalFormatting sqref="I81">
    <cfRule type="cellIs" dxfId="205" priority="150" operator="equal">
      <formula>0</formula>
    </cfRule>
  </conditionalFormatting>
  <conditionalFormatting sqref="M81:N81 P81:Q81">
    <cfRule type="cellIs" dxfId="204" priority="149" operator="equal">
      <formula>0</formula>
    </cfRule>
  </conditionalFormatting>
  <conditionalFormatting sqref="F87:G87 M84 J84 I87 G84:G86">
    <cfRule type="cellIs" dxfId="203" priority="147" operator="equal">
      <formula>0</formula>
    </cfRule>
    <cfRule type="cellIs" priority="148" operator="equal">
      <formula>0</formula>
    </cfRule>
  </conditionalFormatting>
  <conditionalFormatting sqref="I40:I42 L40:L42 O40:O42 R40:R42">
    <cfRule type="cellIs" dxfId="202" priority="146" operator="equal">
      <formula>0</formula>
    </cfRule>
  </conditionalFormatting>
  <conditionalFormatting sqref="C39:T39">
    <cfRule type="cellIs" dxfId="201" priority="144" operator="equal">
      <formula>0</formula>
    </cfRule>
  </conditionalFormatting>
  <conditionalFormatting sqref="S19:T19">
    <cfRule type="cellIs" dxfId="200" priority="142" operator="equal">
      <formula>0</formula>
    </cfRule>
  </conditionalFormatting>
  <conditionalFormatting sqref="I85:I86">
    <cfRule type="cellIs" dxfId="199" priority="140" operator="equal">
      <formula>0</formula>
    </cfRule>
    <cfRule type="cellIs" priority="141" operator="equal">
      <formula>0</formula>
    </cfRule>
  </conditionalFormatting>
  <conditionalFormatting sqref="M85:N86">
    <cfRule type="cellIs" dxfId="198" priority="138" operator="equal">
      <formula>0</formula>
    </cfRule>
    <cfRule type="cellIs" priority="139" operator="equal">
      <formula>0</formula>
    </cfRule>
  </conditionalFormatting>
  <conditionalFormatting sqref="P85:Q86">
    <cfRule type="cellIs" dxfId="197" priority="136" operator="equal">
      <formula>0</formula>
    </cfRule>
    <cfRule type="cellIs" priority="137" operator="equal">
      <formula>0</formula>
    </cfRule>
  </conditionalFormatting>
  <conditionalFormatting sqref="J85:K86">
    <cfRule type="cellIs" dxfId="196" priority="134" operator="equal">
      <formula>0</formula>
    </cfRule>
    <cfRule type="cellIs" priority="135" operator="equal">
      <formula>0</formula>
    </cfRule>
  </conditionalFormatting>
  <conditionalFormatting sqref="J87:K87">
    <cfRule type="cellIs" dxfId="195" priority="132" operator="equal">
      <formula>0</formula>
    </cfRule>
    <cfRule type="cellIs" priority="133" operator="equal">
      <formula>0</formula>
    </cfRule>
  </conditionalFormatting>
  <conditionalFormatting sqref="M87:N87">
    <cfRule type="cellIs" dxfId="194" priority="130" operator="equal">
      <formula>0</formula>
    </cfRule>
    <cfRule type="cellIs" priority="131" operator="equal">
      <formula>0</formula>
    </cfRule>
  </conditionalFormatting>
  <conditionalFormatting sqref="L88:N88">
    <cfRule type="cellIs" dxfId="193" priority="128" operator="equal">
      <formula>0</formula>
    </cfRule>
    <cfRule type="cellIs" priority="129" operator="equal">
      <formula>0</formula>
    </cfRule>
  </conditionalFormatting>
  <conditionalFormatting sqref="P87:Q87">
    <cfRule type="cellIs" dxfId="192" priority="126" operator="equal">
      <formula>0</formula>
    </cfRule>
    <cfRule type="cellIs" priority="127" operator="equal">
      <formula>0</formula>
    </cfRule>
  </conditionalFormatting>
  <conditionalFormatting sqref="L85:L86">
    <cfRule type="cellIs" dxfId="191" priority="124" operator="equal">
      <formula>0</formula>
    </cfRule>
    <cfRule type="cellIs" priority="125" operator="equal">
      <formula>0</formula>
    </cfRule>
  </conditionalFormatting>
  <conditionalFormatting sqref="L87">
    <cfRule type="cellIs" dxfId="190" priority="122" operator="equal">
      <formula>0</formula>
    </cfRule>
    <cfRule type="cellIs" priority="123" operator="equal">
      <formula>0</formula>
    </cfRule>
  </conditionalFormatting>
  <conditionalFormatting sqref="O85:O87">
    <cfRule type="cellIs" dxfId="189" priority="120" operator="equal">
      <formula>0</formula>
    </cfRule>
    <cfRule type="cellIs" priority="121" operator="equal">
      <formula>0</formula>
    </cfRule>
  </conditionalFormatting>
  <conditionalFormatting sqref="R85:R87">
    <cfRule type="cellIs" dxfId="188" priority="118" operator="equal">
      <formula>0</formula>
    </cfRule>
    <cfRule type="cellIs" priority="119" operator="equal">
      <formula>0</formula>
    </cfRule>
  </conditionalFormatting>
  <conditionalFormatting sqref="I84">
    <cfRule type="cellIs" dxfId="187" priority="87" operator="lessThan">
      <formula>0</formula>
    </cfRule>
    <cfRule type="cellIs" dxfId="186" priority="116" operator="equal">
      <formula>0</formula>
    </cfRule>
    <cfRule type="cellIs" priority="117" operator="equal">
      <formula>0</formula>
    </cfRule>
  </conditionalFormatting>
  <conditionalFormatting sqref="H55">
    <cfRule type="cellIs" dxfId="185" priority="115" operator="equal">
      <formula>0</formula>
    </cfRule>
  </conditionalFormatting>
  <conditionalFormatting sqref="H56">
    <cfRule type="cellIs" dxfId="184" priority="114" operator="equal">
      <formula>0</formula>
    </cfRule>
  </conditionalFormatting>
  <conditionalFormatting sqref="H57">
    <cfRule type="cellIs" dxfId="183" priority="113" operator="equal">
      <formula>0</formula>
    </cfRule>
  </conditionalFormatting>
  <conditionalFormatting sqref="H58">
    <cfRule type="cellIs" dxfId="182" priority="112" operator="equal">
      <formula>0</formula>
    </cfRule>
  </conditionalFormatting>
  <conditionalFormatting sqref="H59:H62">
    <cfRule type="cellIs" dxfId="181" priority="111" operator="equal">
      <formula>0</formula>
    </cfRule>
  </conditionalFormatting>
  <conditionalFormatting sqref="H20:H25">
    <cfRule type="cellIs" dxfId="180" priority="107" operator="equal">
      <formula>0</formula>
    </cfRule>
  </conditionalFormatting>
  <conditionalFormatting sqref="C68:T68">
    <cfRule type="cellIs" dxfId="179" priority="109" operator="equal">
      <formula>0</formula>
    </cfRule>
  </conditionalFormatting>
  <conditionalFormatting sqref="H61:H62">
    <cfRule type="cellIs" dxfId="178" priority="108" operator="equal">
      <formula>0</formula>
    </cfRule>
  </conditionalFormatting>
  <conditionalFormatting sqref="H27:H36">
    <cfRule type="cellIs" dxfId="177" priority="106" operator="equal">
      <formula>0</formula>
    </cfRule>
  </conditionalFormatting>
  <conditionalFormatting sqref="G15:H15">
    <cfRule type="cellIs" dxfId="176" priority="105" operator="equal">
      <formula>0</formula>
    </cfRule>
  </conditionalFormatting>
  <conditionalFormatting sqref="H44">
    <cfRule type="cellIs" dxfId="175" priority="104" operator="equal">
      <formula>0</formula>
    </cfRule>
  </conditionalFormatting>
  <conditionalFormatting sqref="H45:H47">
    <cfRule type="cellIs" dxfId="174" priority="103" operator="equal">
      <formula>0</formula>
    </cfRule>
  </conditionalFormatting>
  <conditionalFormatting sqref="H45:H47">
    <cfRule type="cellIs" dxfId="173" priority="102" operator="equal">
      <formula>0</formula>
    </cfRule>
  </conditionalFormatting>
  <conditionalFormatting sqref="L12 O12 R12">
    <cfRule type="cellIs" dxfId="172" priority="100" operator="equal">
      <formula>0</formula>
    </cfRule>
  </conditionalFormatting>
  <conditionalFormatting sqref="I12">
    <cfRule type="cellIs" dxfId="171" priority="99" operator="equal">
      <formula>0</formula>
    </cfRule>
  </conditionalFormatting>
  <conditionalFormatting sqref="G9:H9">
    <cfRule type="cellIs" dxfId="170" priority="97" operator="equal">
      <formula>0</formula>
    </cfRule>
  </conditionalFormatting>
  <conditionalFormatting sqref="G10:H11">
    <cfRule type="cellIs" dxfId="169" priority="96" operator="equal">
      <formula>0</formula>
    </cfRule>
  </conditionalFormatting>
  <conditionalFormatting sqref="G12:H12">
    <cfRule type="cellIs" dxfId="168" priority="95" operator="equal">
      <formula>0</formula>
    </cfRule>
  </conditionalFormatting>
  <conditionalFormatting sqref="G35">
    <cfRule type="cellIs" dxfId="167" priority="93" operator="equal">
      <formula>0</formula>
    </cfRule>
  </conditionalFormatting>
  <conditionalFormatting sqref="J8:K8">
    <cfRule type="cellIs" dxfId="166" priority="92" operator="equal">
      <formula>0</formula>
    </cfRule>
  </conditionalFormatting>
  <conditionalFormatting sqref="M8:N8">
    <cfRule type="cellIs" dxfId="165" priority="91" operator="equal">
      <formula>0</formula>
    </cfRule>
  </conditionalFormatting>
  <conditionalFormatting sqref="P8:Q8">
    <cfRule type="cellIs" dxfId="164" priority="90" operator="equal">
      <formula>0</formula>
    </cfRule>
  </conditionalFormatting>
  <conditionalFormatting sqref="S8:T8">
    <cfRule type="cellIs" dxfId="163" priority="89" operator="equal">
      <formula>0</formula>
    </cfRule>
  </conditionalFormatting>
  <conditionalFormatting sqref="I69">
    <cfRule type="cellIs" dxfId="162" priority="84" operator="equal">
      <formula>0</formula>
    </cfRule>
  </conditionalFormatting>
  <conditionalFormatting sqref="U85:U87">
    <cfRule type="cellIs" dxfId="161" priority="78" operator="equal">
      <formula>0</formula>
    </cfRule>
  </conditionalFormatting>
  <conditionalFormatting sqref="O84">
    <cfRule type="cellIs" dxfId="160" priority="75" operator="lessThan">
      <formula>0</formula>
    </cfRule>
    <cfRule type="cellIs" dxfId="159" priority="76" operator="equal">
      <formula>0</formula>
    </cfRule>
    <cfRule type="cellIs" priority="77" operator="equal">
      <formula>0</formula>
    </cfRule>
  </conditionalFormatting>
  <conditionalFormatting sqref="R84">
    <cfRule type="cellIs" dxfId="158" priority="72" operator="lessThan">
      <formula>0</formula>
    </cfRule>
    <cfRule type="cellIs" dxfId="157" priority="73" operator="equal">
      <formula>0</formula>
    </cfRule>
    <cfRule type="cellIs" priority="74" operator="equal">
      <formula>0</formula>
    </cfRule>
  </conditionalFormatting>
  <conditionalFormatting sqref="L84">
    <cfRule type="cellIs" dxfId="156" priority="69" operator="lessThan">
      <formula>0</formula>
    </cfRule>
    <cfRule type="cellIs" dxfId="155" priority="70" operator="equal">
      <formula>0</formula>
    </cfRule>
    <cfRule type="cellIs" priority="71" operator="equal">
      <formula>0</formula>
    </cfRule>
  </conditionalFormatting>
  <conditionalFormatting sqref="U84">
    <cfRule type="cellIs" dxfId="154" priority="66" operator="lessThan">
      <formula>0</formula>
    </cfRule>
    <cfRule type="cellIs" dxfId="153" priority="67" operator="equal">
      <formula>0</formula>
    </cfRule>
    <cfRule type="cellIs" priority="68" operator="equal">
      <formula>0</formula>
    </cfRule>
  </conditionalFormatting>
  <conditionalFormatting sqref="C8">
    <cfRule type="cellIs" dxfId="152" priority="65" operator="equal">
      <formula>0</formula>
    </cfRule>
  </conditionalFormatting>
  <conditionalFormatting sqref="E8">
    <cfRule type="cellIs" dxfId="151" priority="64" operator="equal">
      <formula>0</formula>
    </cfRule>
  </conditionalFormatting>
  <conditionalFormatting sqref="U64:U66">
    <cfRule type="cellIs" dxfId="150" priority="57" operator="equal">
      <formula>0</formula>
    </cfRule>
  </conditionalFormatting>
  <conditionalFormatting sqref="U55:U59">
    <cfRule type="cellIs" dxfId="149" priority="56" operator="equal">
      <formula>0</formula>
    </cfRule>
  </conditionalFormatting>
  <conditionalFormatting sqref="U61:U62">
    <cfRule type="cellIs" dxfId="148" priority="55" operator="equal">
      <formula>0</formula>
    </cfRule>
  </conditionalFormatting>
  <conditionalFormatting sqref="U63">
    <cfRule type="cellIs" dxfId="147" priority="53" operator="equal">
      <formula>0</formula>
    </cfRule>
  </conditionalFormatting>
  <conditionalFormatting sqref="U60">
    <cfRule type="cellIs" dxfId="146" priority="52" operator="equal">
      <formula>0</formula>
    </cfRule>
  </conditionalFormatting>
  <conditionalFormatting sqref="U54">
    <cfRule type="cellIs" dxfId="145" priority="51" operator="equal">
      <formula>0</formula>
    </cfRule>
  </conditionalFormatting>
  <conditionalFormatting sqref="U9:U13">
    <cfRule type="cellIs" dxfId="144" priority="50" operator="equal">
      <formula>0</formula>
    </cfRule>
  </conditionalFormatting>
  <conditionalFormatting sqref="U15">
    <cfRule type="cellIs" dxfId="143" priority="49" operator="equal">
      <formula>0</formula>
    </cfRule>
  </conditionalFormatting>
  <conditionalFormatting sqref="U17:U18">
    <cfRule type="cellIs" dxfId="142" priority="48" operator="equal">
      <formula>0</formula>
    </cfRule>
  </conditionalFormatting>
  <conditionalFormatting sqref="U20:U25">
    <cfRule type="cellIs" dxfId="141" priority="47" operator="equal">
      <formula>0</formula>
    </cfRule>
  </conditionalFormatting>
  <conditionalFormatting sqref="U27:U38">
    <cfRule type="cellIs" dxfId="140" priority="46" operator="equal">
      <formula>0</formula>
    </cfRule>
  </conditionalFormatting>
  <conditionalFormatting sqref="U40:U42">
    <cfRule type="cellIs" dxfId="139" priority="45" operator="equal">
      <formula>0</formula>
    </cfRule>
  </conditionalFormatting>
  <conditionalFormatting sqref="U8">
    <cfRule type="cellIs" dxfId="138" priority="43" operator="equal">
      <formula>0</formula>
    </cfRule>
  </conditionalFormatting>
  <conditionalFormatting sqref="U14">
    <cfRule type="cellIs" dxfId="137" priority="42" operator="equal">
      <formula>0</formula>
    </cfRule>
  </conditionalFormatting>
  <conditionalFormatting sqref="U16">
    <cfRule type="cellIs" dxfId="136" priority="41" operator="equal">
      <formula>0</formula>
    </cfRule>
  </conditionalFormatting>
  <conditionalFormatting sqref="U19">
    <cfRule type="cellIs" dxfId="135" priority="40" operator="equal">
      <formula>0</formula>
    </cfRule>
  </conditionalFormatting>
  <conditionalFormatting sqref="U26">
    <cfRule type="cellIs" dxfId="134" priority="39" operator="equal">
      <formula>0</formula>
    </cfRule>
  </conditionalFormatting>
  <conditionalFormatting sqref="U39">
    <cfRule type="cellIs" dxfId="133" priority="38" operator="equal">
      <formula>0</formula>
    </cfRule>
  </conditionalFormatting>
  <conditionalFormatting sqref="U43">
    <cfRule type="cellIs" dxfId="132" priority="37" operator="equal">
      <formula>0</formula>
    </cfRule>
  </conditionalFormatting>
  <conditionalFormatting sqref="U50">
    <cfRule type="cellIs" dxfId="131" priority="36" operator="equal">
      <formula>0</formula>
    </cfRule>
  </conditionalFormatting>
  <conditionalFormatting sqref="U68">
    <cfRule type="cellIs" dxfId="130" priority="35" operator="equal">
      <formula>0</formula>
    </cfRule>
  </conditionalFormatting>
  <conditionalFormatting sqref="U79">
    <cfRule type="cellIs" dxfId="123" priority="20" operator="equal">
      <formula>0</formula>
    </cfRule>
  </conditionalFormatting>
  <conditionalFormatting sqref="I77:I78 I74:I75">
    <cfRule type="cellIs" dxfId="122" priority="19" operator="equal">
      <formula>0</formula>
    </cfRule>
  </conditionalFormatting>
  <conditionalFormatting sqref="E76">
    <cfRule type="cellIs" dxfId="121" priority="18" operator="equal">
      <formula>0</formula>
    </cfRule>
  </conditionalFormatting>
  <conditionalFormatting sqref="L77:L78 O77:O78 R77:R78 L74:L75 O74:O75 R74:R75">
    <cfRule type="cellIs" dxfId="120" priority="17" operator="equal">
      <formula>0</formula>
    </cfRule>
  </conditionalFormatting>
  <conditionalFormatting sqref="U77:U78 U74:U75">
    <cfRule type="cellIs" dxfId="119" priority="16" operator="equal">
      <formula>0</formula>
    </cfRule>
  </conditionalFormatting>
  <conditionalFormatting sqref="L81">
    <cfRule type="cellIs" dxfId="118" priority="15" operator="equal">
      <formula>0</formula>
    </cfRule>
  </conditionalFormatting>
  <conditionalFormatting sqref="O81">
    <cfRule type="cellIs" dxfId="117" priority="14" operator="equal">
      <formula>0</formula>
    </cfRule>
  </conditionalFormatting>
  <conditionalFormatting sqref="R81">
    <cfRule type="cellIs" dxfId="116" priority="13" operator="equal">
      <formula>0</formula>
    </cfRule>
  </conditionalFormatting>
  <conditionalFormatting sqref="C73:R73">
    <cfRule type="cellIs" dxfId="115" priority="12" operator="equal">
      <formula>0</formula>
    </cfRule>
  </conditionalFormatting>
  <conditionalFormatting sqref="C76:D76">
    <cfRule type="cellIs" dxfId="114" priority="11" operator="equal">
      <formula>0</formula>
    </cfRule>
  </conditionalFormatting>
  <conditionalFormatting sqref="L48:L49 O48:O49 R48:R49">
    <cfRule type="cellIs" dxfId="113" priority="10" operator="equal">
      <formula>0</formula>
    </cfRule>
  </conditionalFormatting>
  <conditionalFormatting sqref="I48:I49">
    <cfRule type="cellIs" dxfId="112" priority="9" operator="equal">
      <formula>0</formula>
    </cfRule>
  </conditionalFormatting>
  <conditionalFormatting sqref="I48:I49">
    <cfRule type="cellIs" dxfId="111" priority="8" operator="equal">
      <formula>0</formula>
    </cfRule>
  </conditionalFormatting>
  <conditionalFormatting sqref="U48:U49">
    <cfRule type="cellIs" dxfId="110" priority="7" operator="equal">
      <formula>0</formula>
    </cfRule>
  </conditionalFormatting>
  <conditionalFormatting sqref="U73">
    <cfRule type="cellIs" dxfId="5" priority="6" operator="equal">
      <formula>0</formula>
    </cfRule>
  </conditionalFormatting>
  <conditionalFormatting sqref="I76">
    <cfRule type="cellIs" dxfId="4" priority="5" operator="equal">
      <formula>0</formula>
    </cfRule>
  </conditionalFormatting>
  <conditionalFormatting sqref="L76">
    <cfRule type="cellIs" dxfId="3" priority="4" operator="equal">
      <formula>0</formula>
    </cfRule>
  </conditionalFormatting>
  <conditionalFormatting sqref="O76">
    <cfRule type="cellIs" dxfId="2" priority="3" operator="equal">
      <formula>0</formula>
    </cfRule>
  </conditionalFormatting>
  <conditionalFormatting sqref="R76">
    <cfRule type="cellIs" dxfId="1" priority="2" operator="equal">
      <formula>0</formula>
    </cfRule>
  </conditionalFormatting>
  <conditionalFormatting sqref="U76">
    <cfRule type="cellIs" dxfId="0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K43 I43 L19:U19 S14:T14 K19 U43 L43:R43 P76:Q76 M76:N76 I76:L76 O76 R76:U76 P79:Q79 M79:N79 L79 O79 R79:T79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F64:F67 F40:F42 F77:F78 F61:F62 F74:F75 F27:F38 F55:F59 F69:F70 F44:F49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D55:D62 D27:D38 D40:D42 D77:D78 D74:D75 D69:D70 D44:D49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38" t="s">
        <v>71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W2" s="163"/>
      <c r="X2" s="163"/>
    </row>
    <row r="3" spans="2:24" ht="6.75" customHeight="1"/>
    <row r="4" spans="2:24" ht="27" customHeight="1">
      <c r="B4" s="139" t="s">
        <v>0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W4" s="166" t="s">
        <v>70</v>
      </c>
      <c r="X4" s="166"/>
    </row>
    <row r="5" spans="2:24" ht="15.75" customHeight="1" outlineLevel="1">
      <c r="B5" s="140" t="s">
        <v>98</v>
      </c>
      <c r="C5" s="140" t="s">
        <v>31</v>
      </c>
      <c r="D5" s="140"/>
      <c r="E5" s="140"/>
      <c r="F5" s="140"/>
      <c r="G5" s="143"/>
      <c r="H5" s="145"/>
      <c r="I5" s="141" t="s">
        <v>32</v>
      </c>
      <c r="J5" s="141"/>
      <c r="K5" s="141"/>
      <c r="L5" s="141"/>
      <c r="M5" s="141"/>
      <c r="N5" s="141"/>
      <c r="O5" s="141"/>
      <c r="P5" s="141"/>
      <c r="Q5" s="141"/>
      <c r="R5" s="141"/>
      <c r="S5" s="12"/>
      <c r="T5" s="12"/>
      <c r="U5" s="147" t="s">
        <v>68</v>
      </c>
      <c r="W5" s="166"/>
      <c r="X5" s="166"/>
    </row>
    <row r="6" spans="2:24" ht="12" customHeight="1" outlineLevel="1">
      <c r="B6" s="141"/>
      <c r="C6" s="150" t="s">
        <v>35</v>
      </c>
      <c r="D6" s="150" t="s">
        <v>47</v>
      </c>
      <c r="E6" s="150" t="s">
        <v>36</v>
      </c>
      <c r="F6" s="150" t="s">
        <v>44</v>
      </c>
      <c r="G6" s="164"/>
      <c r="H6" s="165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2"/>
      <c r="T6" s="12"/>
      <c r="U6" s="148"/>
      <c r="W6" s="166"/>
      <c r="X6" s="166"/>
    </row>
    <row r="7" spans="2:24" ht="20.25" customHeight="1" outlineLevel="1">
      <c r="B7" s="141"/>
      <c r="C7" s="150"/>
      <c r="D7" s="150"/>
      <c r="E7" s="150"/>
      <c r="F7" s="150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48"/>
      <c r="W7" s="166"/>
      <c r="X7" s="166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39" t="s">
        <v>30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</row>
    <row r="51" spans="2:21" ht="15" hidden="1" customHeight="1" outlineLevel="1">
      <c r="B51" s="140" t="s">
        <v>98</v>
      </c>
      <c r="C51" s="140" t="s">
        <v>31</v>
      </c>
      <c r="D51" s="140"/>
      <c r="E51" s="140"/>
      <c r="F51" s="140"/>
      <c r="G51" s="150" t="s">
        <v>20</v>
      </c>
      <c r="H51" s="150" t="s">
        <v>21</v>
      </c>
      <c r="I51" s="141" t="s">
        <v>32</v>
      </c>
      <c r="J51" s="141"/>
      <c r="K51" s="141"/>
      <c r="L51" s="141"/>
      <c r="M51" s="141"/>
      <c r="N51" s="141"/>
      <c r="O51" s="141"/>
      <c r="P51" s="141"/>
      <c r="Q51" s="141"/>
      <c r="R51" s="167"/>
      <c r="S51" s="72"/>
      <c r="T51" s="73"/>
      <c r="U51" s="147" t="s">
        <v>68</v>
      </c>
    </row>
    <row r="52" spans="2:21" ht="15" hidden="1" customHeight="1" outlineLevel="1">
      <c r="B52" s="141"/>
      <c r="C52" s="150" t="s">
        <v>35</v>
      </c>
      <c r="D52" s="150" t="s">
        <v>47</v>
      </c>
      <c r="E52" s="150" t="s">
        <v>36</v>
      </c>
      <c r="F52" s="150" t="s">
        <v>44</v>
      </c>
      <c r="G52" s="150"/>
      <c r="H52" s="150"/>
      <c r="I52" s="141"/>
      <c r="J52" s="141"/>
      <c r="K52" s="141"/>
      <c r="L52" s="141"/>
      <c r="M52" s="141"/>
      <c r="N52" s="141"/>
      <c r="O52" s="141"/>
      <c r="P52" s="141"/>
      <c r="Q52" s="141"/>
      <c r="R52" s="167"/>
      <c r="S52" s="72"/>
      <c r="T52" s="73"/>
      <c r="U52" s="148"/>
    </row>
    <row r="53" spans="2:21" ht="15" hidden="1" customHeight="1" outlineLevel="1">
      <c r="B53" s="141"/>
      <c r="C53" s="150"/>
      <c r="D53" s="150"/>
      <c r="E53" s="150"/>
      <c r="F53" s="150"/>
      <c r="G53" s="150"/>
      <c r="H53" s="150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48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56" t="s">
        <v>69</v>
      </c>
      <c r="C73" s="156"/>
      <c r="D73" s="156"/>
      <c r="E73" s="156"/>
      <c r="F73" s="157"/>
      <c r="G73" s="157"/>
      <c r="H73" s="157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61" t="s">
        <v>78</v>
      </c>
      <c r="C75" s="161"/>
      <c r="D75" s="161"/>
      <c r="E75" s="161"/>
      <c r="F75" s="162" t="s">
        <v>67</v>
      </c>
      <c r="G75" s="162"/>
      <c r="H75" s="162"/>
      <c r="I75" s="15" t="s">
        <v>63</v>
      </c>
      <c r="J75" s="154" t="s">
        <v>64</v>
      </c>
      <c r="K75" s="154"/>
      <c r="L75" s="154"/>
      <c r="M75" s="154" t="s">
        <v>65</v>
      </c>
      <c r="N75" s="154"/>
      <c r="O75" s="154"/>
      <c r="P75" s="154" t="s">
        <v>66</v>
      </c>
      <c r="Q75" s="154"/>
      <c r="R75" s="154"/>
      <c r="S75" s="9"/>
      <c r="T75" s="9"/>
      <c r="U75" s="14" t="s">
        <v>81</v>
      </c>
      <c r="W75" s="4"/>
      <c r="X75" s="4"/>
    </row>
    <row r="76" spans="2:24" ht="15" customHeight="1">
      <c r="B76" s="11"/>
      <c r="C76" s="155" t="s">
        <v>7</v>
      </c>
      <c r="D76" s="155"/>
      <c r="E76" s="155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59" t="s">
        <v>79</v>
      </c>
      <c r="D77" s="159"/>
      <c r="E77" s="159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59" t="s">
        <v>80</v>
      </c>
      <c r="D78" s="159"/>
      <c r="E78" s="159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59" t="s">
        <v>62</v>
      </c>
      <c r="D79" s="159"/>
      <c r="E79" s="159"/>
      <c r="F79" s="160">
        <f>E11</f>
        <v>0</v>
      </c>
      <c r="G79" s="160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W2:X2"/>
    <mergeCell ref="G5:G6"/>
    <mergeCell ref="H5:H6"/>
    <mergeCell ref="W4:X7"/>
    <mergeCell ref="F52:F53"/>
    <mergeCell ref="B50:U50"/>
    <mergeCell ref="I51:R52"/>
    <mergeCell ref="U51:U53"/>
  </mergeCells>
  <conditionalFormatting sqref="I9 I27:I42 L27:L42 O27:O42 R27:R42 U27:U42">
    <cfRule type="cellIs" dxfId="109" priority="137" operator="equal">
      <formula>0</formula>
    </cfRule>
  </conditionalFormatting>
  <conditionalFormatting sqref="L9:L11 O9:O11 R9:R11 R13 O13 L13">
    <cfRule type="cellIs" dxfId="108" priority="136" operator="equal">
      <formula>0</formula>
    </cfRule>
  </conditionalFormatting>
  <conditionalFormatting sqref="I10:I11 I13">
    <cfRule type="cellIs" dxfId="107" priority="135" operator="equal">
      <formula>0</formula>
    </cfRule>
  </conditionalFormatting>
  <conditionalFormatting sqref="I15 L15 O15 R15">
    <cfRule type="cellIs" dxfId="106" priority="134" operator="equal">
      <formula>0</formula>
    </cfRule>
  </conditionalFormatting>
  <conditionalFormatting sqref="I17:I18 L17:L18 O17:O18 R17:R18">
    <cfRule type="cellIs" dxfId="105" priority="133" operator="equal">
      <formula>0</formula>
    </cfRule>
  </conditionalFormatting>
  <conditionalFormatting sqref="I20:I25 L20:L25 O20:O25 R20:R25">
    <cfRule type="cellIs" dxfId="104" priority="132" operator="equal">
      <formula>0</formula>
    </cfRule>
  </conditionalFormatting>
  <conditionalFormatting sqref="L44:L47 O44:O47 R44:R47">
    <cfRule type="cellIs" dxfId="103" priority="130" operator="equal">
      <formula>0</formula>
    </cfRule>
  </conditionalFormatting>
  <conditionalFormatting sqref="I55:I62 R55:R62 O55:O62 L55:L62">
    <cfRule type="cellIs" dxfId="102" priority="129" operator="equal">
      <formula>0</formula>
    </cfRule>
  </conditionalFormatting>
  <conditionalFormatting sqref="I64:I67 R64:R67 O64:O67 L64:L67">
    <cfRule type="cellIs" dxfId="101" priority="128" operator="equal">
      <formula>0</formula>
    </cfRule>
  </conditionalFormatting>
  <conditionalFormatting sqref="I61:I62 R61:R62 O61:O62 L61:L62">
    <cfRule type="cellIs" dxfId="100" priority="127" operator="equal">
      <formula>0</formula>
    </cfRule>
  </conditionalFormatting>
  <conditionalFormatting sqref="U9">
    <cfRule type="cellIs" dxfId="99" priority="126" operator="equal">
      <formula>0</formula>
    </cfRule>
  </conditionalFormatting>
  <conditionalFormatting sqref="U10:U11 U13">
    <cfRule type="cellIs" dxfId="98" priority="125" operator="equal">
      <formula>0</formula>
    </cfRule>
  </conditionalFormatting>
  <conditionalFormatting sqref="U15">
    <cfRule type="cellIs" dxfId="97" priority="124" operator="equal">
      <formula>0</formula>
    </cfRule>
  </conditionalFormatting>
  <conditionalFormatting sqref="U17:U18">
    <cfRule type="cellIs" dxfId="96" priority="123" operator="equal">
      <formula>0</formula>
    </cfRule>
  </conditionalFormatting>
  <conditionalFormatting sqref="U20:U25">
    <cfRule type="cellIs" dxfId="95" priority="122" operator="equal">
      <formula>0</formula>
    </cfRule>
  </conditionalFormatting>
  <conditionalFormatting sqref="U44">
    <cfRule type="cellIs" dxfId="94" priority="120" operator="equal">
      <formula>0</formula>
    </cfRule>
  </conditionalFormatting>
  <conditionalFormatting sqref="U55:U62">
    <cfRule type="cellIs" dxfId="93" priority="119" operator="equal">
      <formula>0</formula>
    </cfRule>
  </conditionalFormatting>
  <conditionalFormatting sqref="U64:U67">
    <cfRule type="cellIs" dxfId="92" priority="118" operator="equal">
      <formula>0</formula>
    </cfRule>
  </conditionalFormatting>
  <conditionalFormatting sqref="U61:U62">
    <cfRule type="cellIs" dxfId="91" priority="117" operator="equal">
      <formula>0</formula>
    </cfRule>
  </conditionalFormatting>
  <conditionalFormatting sqref="I8">
    <cfRule type="cellIs" dxfId="90" priority="116" operator="equal">
      <formula>0</formula>
    </cfRule>
  </conditionalFormatting>
  <conditionalFormatting sqref="L8 O8 R8 U8">
    <cfRule type="cellIs" dxfId="89" priority="115" operator="equal">
      <formula>0</formula>
    </cfRule>
  </conditionalFormatting>
  <conditionalFormatting sqref="C14:U14">
    <cfRule type="cellIs" dxfId="88" priority="114" operator="equal">
      <formula>0</formula>
    </cfRule>
  </conditionalFormatting>
  <conditionalFormatting sqref="C16:U16">
    <cfRule type="cellIs" dxfId="87" priority="113" operator="equal">
      <formula>0</formula>
    </cfRule>
  </conditionalFormatting>
  <conditionalFormatting sqref="C19:R19">
    <cfRule type="cellIs" dxfId="86" priority="112" operator="equal">
      <formula>0</formula>
    </cfRule>
  </conditionalFormatting>
  <conditionalFormatting sqref="C26:U26">
    <cfRule type="cellIs" dxfId="85" priority="111" operator="equal">
      <formula>0</formula>
    </cfRule>
  </conditionalFormatting>
  <conditionalFormatting sqref="U19">
    <cfRule type="cellIs" dxfId="84" priority="110" operator="equal">
      <formula>0</formula>
    </cfRule>
  </conditionalFormatting>
  <conditionalFormatting sqref="C43:U43">
    <cfRule type="cellIs" dxfId="83" priority="109" operator="equal">
      <formula>0</formula>
    </cfRule>
  </conditionalFormatting>
  <conditionalFormatting sqref="C48:U48">
    <cfRule type="cellIs" dxfId="82" priority="108" operator="equal">
      <formula>0</formula>
    </cfRule>
  </conditionalFormatting>
  <conditionalFormatting sqref="C54:U54">
    <cfRule type="cellIs" dxfId="81" priority="107" operator="equal">
      <formula>0</formula>
    </cfRule>
  </conditionalFormatting>
  <conditionalFormatting sqref="C63:U63">
    <cfRule type="cellIs" dxfId="80" priority="106" operator="equal">
      <formula>0</formula>
    </cfRule>
  </conditionalFormatting>
  <conditionalFormatting sqref="C60:U60">
    <cfRule type="cellIs" dxfId="79" priority="105" operator="equal">
      <formula>0</formula>
    </cfRule>
  </conditionalFormatting>
  <conditionalFormatting sqref="C71:U71">
    <cfRule type="cellIs" dxfId="78" priority="104" operator="equal">
      <formula>0</formula>
    </cfRule>
  </conditionalFormatting>
  <conditionalFormatting sqref="I73">
    <cfRule type="cellIs" dxfId="77" priority="103" operator="equal">
      <formula>0</formula>
    </cfRule>
  </conditionalFormatting>
  <conditionalFormatting sqref="L73:R73">
    <cfRule type="cellIs" dxfId="76" priority="102" operator="equal">
      <formula>0</formula>
    </cfRule>
  </conditionalFormatting>
  <conditionalFormatting sqref="F79:G79 M76 J76 I79 G76:G78">
    <cfRule type="cellIs" dxfId="75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74" priority="97" operator="equal">
      <formula>0</formula>
    </cfRule>
  </conditionalFormatting>
  <conditionalFormatting sqref="U40 U42">
    <cfRule type="cellIs" dxfId="73" priority="96" operator="equal">
      <formula>0</formula>
    </cfRule>
  </conditionalFormatting>
  <conditionalFormatting sqref="C39:U39">
    <cfRule type="cellIs" dxfId="72" priority="95" operator="equal">
      <formula>0</formula>
    </cfRule>
  </conditionalFormatting>
  <conditionalFormatting sqref="U41">
    <cfRule type="cellIs" dxfId="71" priority="93" operator="equal">
      <formula>0</formula>
    </cfRule>
  </conditionalFormatting>
  <conditionalFormatting sqref="S19:T19">
    <cfRule type="cellIs" dxfId="70" priority="92" operator="equal">
      <formula>0</formula>
    </cfRule>
  </conditionalFormatting>
  <conditionalFormatting sqref="I77:I78">
    <cfRule type="cellIs" dxfId="69" priority="86" operator="equal">
      <formula>0</formula>
    </cfRule>
    <cfRule type="cellIs" priority="87" operator="equal">
      <formula>0</formula>
    </cfRule>
  </conditionalFormatting>
  <conditionalFormatting sqref="M77:N78">
    <cfRule type="cellIs" dxfId="68" priority="82" operator="equal">
      <formula>0</formula>
    </cfRule>
    <cfRule type="cellIs" priority="83" operator="equal">
      <formula>0</formula>
    </cfRule>
  </conditionalFormatting>
  <conditionalFormatting sqref="P77:Q78">
    <cfRule type="cellIs" dxfId="67" priority="80" operator="equal">
      <formula>0</formula>
    </cfRule>
    <cfRule type="cellIs" priority="81" operator="equal">
      <formula>0</formula>
    </cfRule>
  </conditionalFormatting>
  <conditionalFormatting sqref="J77:K78">
    <cfRule type="cellIs" dxfId="66" priority="78" operator="equal">
      <formula>0</formula>
    </cfRule>
    <cfRule type="cellIs" priority="79" operator="equal">
      <formula>0</formula>
    </cfRule>
  </conditionalFormatting>
  <conditionalFormatting sqref="J79:K79">
    <cfRule type="cellIs" dxfId="65" priority="76" operator="equal">
      <formula>0</formula>
    </cfRule>
    <cfRule type="cellIs" priority="77" operator="equal">
      <formula>0</formula>
    </cfRule>
  </conditionalFormatting>
  <conditionalFormatting sqref="M79:N79">
    <cfRule type="cellIs" dxfId="64" priority="74" operator="equal">
      <formula>0</formula>
    </cfRule>
    <cfRule type="cellIs" priority="75" operator="equal">
      <formula>0</formula>
    </cfRule>
  </conditionalFormatting>
  <conditionalFormatting sqref="L80:N80">
    <cfRule type="cellIs" dxfId="63" priority="72" operator="equal">
      <formula>0</formula>
    </cfRule>
    <cfRule type="cellIs" priority="73" operator="equal">
      <formula>0</formula>
    </cfRule>
  </conditionalFormatting>
  <conditionalFormatting sqref="P79:Q79">
    <cfRule type="cellIs" dxfId="62" priority="70" operator="equal">
      <formula>0</formula>
    </cfRule>
    <cfRule type="cellIs" priority="71" operator="equal">
      <formula>0</formula>
    </cfRule>
  </conditionalFormatting>
  <conditionalFormatting sqref="L77:L78">
    <cfRule type="cellIs" dxfId="61" priority="68" operator="equal">
      <formula>0</formula>
    </cfRule>
    <cfRule type="cellIs" priority="69" operator="equal">
      <formula>0</formula>
    </cfRule>
  </conditionalFormatting>
  <conditionalFormatting sqref="L79">
    <cfRule type="cellIs" dxfId="60" priority="66" operator="equal">
      <formula>0</formula>
    </cfRule>
    <cfRule type="cellIs" priority="67" operator="equal">
      <formula>0</formula>
    </cfRule>
  </conditionalFormatting>
  <conditionalFormatting sqref="O77:O79">
    <cfRule type="cellIs" dxfId="59" priority="64" operator="equal">
      <formula>0</formula>
    </cfRule>
    <cfRule type="cellIs" priority="65" operator="equal">
      <formula>0</formula>
    </cfRule>
  </conditionalFormatting>
  <conditionalFormatting sqref="R77:R79">
    <cfRule type="cellIs" dxfId="58" priority="62" operator="equal">
      <formula>0</formula>
    </cfRule>
    <cfRule type="cellIs" priority="63" operator="equal">
      <formula>0</formula>
    </cfRule>
  </conditionalFormatting>
  <conditionalFormatting sqref="I76">
    <cfRule type="cellIs" dxfId="57" priority="22" operator="lessThan">
      <formula>0</formula>
    </cfRule>
    <cfRule type="cellIs" dxfId="56" priority="54" operator="equal">
      <formula>0</formula>
    </cfRule>
    <cfRule type="cellIs" priority="55" operator="equal">
      <formula>0</formula>
    </cfRule>
  </conditionalFormatting>
  <conditionalFormatting sqref="H55">
    <cfRule type="cellIs" dxfId="55" priority="51" operator="equal">
      <formula>0</formula>
    </cfRule>
  </conditionalFormatting>
  <conditionalFormatting sqref="H56">
    <cfRule type="cellIs" dxfId="54" priority="50" operator="equal">
      <formula>0</formula>
    </cfRule>
  </conditionalFormatting>
  <conditionalFormatting sqref="H57">
    <cfRule type="cellIs" dxfId="53" priority="49" operator="equal">
      <formula>0</formula>
    </cfRule>
  </conditionalFormatting>
  <conditionalFormatting sqref="H58">
    <cfRule type="cellIs" dxfId="52" priority="48" operator="equal">
      <formula>0</formula>
    </cfRule>
  </conditionalFormatting>
  <conditionalFormatting sqref="H59:H62">
    <cfRule type="cellIs" dxfId="51" priority="47" operator="equal">
      <formula>0</formula>
    </cfRule>
  </conditionalFormatting>
  <conditionalFormatting sqref="I70">
    <cfRule type="cellIs" dxfId="50" priority="46" operator="equal">
      <formula>0</formula>
    </cfRule>
  </conditionalFormatting>
  <conditionalFormatting sqref="H20:H25">
    <cfRule type="cellIs" dxfId="49" priority="42" operator="equal">
      <formula>0</formula>
    </cfRule>
  </conditionalFormatting>
  <conditionalFormatting sqref="C68:U68">
    <cfRule type="cellIs" dxfId="48" priority="44" operator="equal">
      <formula>0</formula>
    </cfRule>
  </conditionalFormatting>
  <conditionalFormatting sqref="H61:H62">
    <cfRule type="cellIs" dxfId="47" priority="43" operator="equal">
      <formula>0</formula>
    </cfRule>
  </conditionalFormatting>
  <conditionalFormatting sqref="H27:H36">
    <cfRule type="cellIs" dxfId="46" priority="41" operator="equal">
      <formula>0</formula>
    </cfRule>
  </conditionalFormatting>
  <conditionalFormatting sqref="G15:H15">
    <cfRule type="cellIs" dxfId="45" priority="40" operator="equal">
      <formula>0</formula>
    </cfRule>
  </conditionalFormatting>
  <conditionalFormatting sqref="H44">
    <cfRule type="cellIs" dxfId="44" priority="39" operator="equal">
      <formula>0</formula>
    </cfRule>
  </conditionalFormatting>
  <conditionalFormatting sqref="H45:H47 U45:U47">
    <cfRule type="cellIs" dxfId="43" priority="38" operator="equal">
      <formula>0</formula>
    </cfRule>
  </conditionalFormatting>
  <conditionalFormatting sqref="H45:H47 U45:U47">
    <cfRule type="cellIs" dxfId="42" priority="37" operator="equal">
      <formula>0</formula>
    </cfRule>
  </conditionalFormatting>
  <conditionalFormatting sqref="B70">
    <cfRule type="cellIs" dxfId="41" priority="36" operator="equal">
      <formula>0</formula>
    </cfRule>
  </conditionalFormatting>
  <conditionalFormatting sqref="L12 O12 R12">
    <cfRule type="cellIs" dxfId="40" priority="35" operator="equal">
      <formula>0</formula>
    </cfRule>
  </conditionalFormatting>
  <conditionalFormatting sqref="I12">
    <cfRule type="cellIs" dxfId="39" priority="34" operator="equal">
      <formula>0</formula>
    </cfRule>
  </conditionalFormatting>
  <conditionalFormatting sqref="U12">
    <cfRule type="cellIs" dxfId="38" priority="33" operator="equal">
      <formula>0</formula>
    </cfRule>
  </conditionalFormatting>
  <conditionalFormatting sqref="G9:H9">
    <cfRule type="cellIs" dxfId="37" priority="32" operator="equal">
      <formula>0</formula>
    </cfRule>
  </conditionalFormatting>
  <conditionalFormatting sqref="G10:H11">
    <cfRule type="cellIs" dxfId="36" priority="31" operator="equal">
      <formula>0</formula>
    </cfRule>
  </conditionalFormatting>
  <conditionalFormatting sqref="G12:H12">
    <cfRule type="cellIs" dxfId="35" priority="30" operator="equal">
      <formula>0</formula>
    </cfRule>
  </conditionalFormatting>
  <conditionalFormatting sqref="G44:G45">
    <cfRule type="cellIs" dxfId="34" priority="29" operator="equal">
      <formula>0</formula>
    </cfRule>
  </conditionalFormatting>
  <conditionalFormatting sqref="G35">
    <cfRule type="cellIs" dxfId="33" priority="28" operator="equal">
      <formula>0</formula>
    </cfRule>
  </conditionalFormatting>
  <conditionalFormatting sqref="J8:K8">
    <cfRule type="cellIs" dxfId="32" priority="27" operator="equal">
      <formula>0</formula>
    </cfRule>
  </conditionalFormatting>
  <conditionalFormatting sqref="M8:N8">
    <cfRule type="cellIs" dxfId="31" priority="26" operator="equal">
      <formula>0</formula>
    </cfRule>
  </conditionalFormatting>
  <conditionalFormatting sqref="P8:Q8">
    <cfRule type="cellIs" dxfId="30" priority="25" operator="equal">
      <formula>0</formula>
    </cfRule>
  </conditionalFormatting>
  <conditionalFormatting sqref="S8:T8">
    <cfRule type="cellIs" dxfId="29" priority="24" operator="equal">
      <formula>0</formula>
    </cfRule>
  </conditionalFormatting>
  <conditionalFormatting sqref="H70">
    <cfRule type="cellIs" dxfId="28" priority="23" operator="equal">
      <formula>0</formula>
    </cfRule>
  </conditionalFormatting>
  <conditionalFormatting sqref="I44:I47">
    <cfRule type="cellIs" dxfId="27" priority="21" operator="equal">
      <formula>0</formula>
    </cfRule>
  </conditionalFormatting>
  <conditionalFormatting sqref="I44:I47">
    <cfRule type="cellIs" dxfId="26" priority="20" operator="equal">
      <formula>0</formula>
    </cfRule>
  </conditionalFormatting>
  <conditionalFormatting sqref="I69">
    <cfRule type="cellIs" dxfId="25" priority="19" operator="equal">
      <formula>0</formula>
    </cfRule>
  </conditionalFormatting>
  <conditionalFormatting sqref="L69:L70">
    <cfRule type="cellIs" dxfId="24" priority="18" operator="equal">
      <formula>0</formula>
    </cfRule>
  </conditionalFormatting>
  <conditionalFormatting sqref="O69:O70">
    <cfRule type="cellIs" dxfId="23" priority="17" operator="equal">
      <formula>0</formula>
    </cfRule>
  </conditionalFormatting>
  <conditionalFormatting sqref="R69:R70">
    <cfRule type="cellIs" dxfId="22" priority="16" operator="equal">
      <formula>0</formula>
    </cfRule>
  </conditionalFormatting>
  <conditionalFormatting sqref="U69:U70">
    <cfRule type="cellIs" dxfId="21" priority="15" operator="equal">
      <formula>0</formula>
    </cfRule>
  </conditionalFormatting>
  <conditionalFormatting sqref="U77:U79">
    <cfRule type="cellIs" dxfId="20" priority="13" operator="equal">
      <formula>0</formula>
    </cfRule>
  </conditionalFormatting>
  <conditionalFormatting sqref="O76">
    <cfRule type="cellIs" dxfId="19" priority="10" operator="lessThan">
      <formula>0</formula>
    </cfRule>
    <cfRule type="cellIs" dxfId="18" priority="11" operator="equal">
      <formula>0</formula>
    </cfRule>
    <cfRule type="cellIs" priority="12" operator="equal">
      <formula>0</formula>
    </cfRule>
  </conditionalFormatting>
  <conditionalFormatting sqref="R76">
    <cfRule type="cellIs" dxfId="17" priority="7" operator="lessThan">
      <formula>0</formula>
    </cfRule>
    <cfRule type="cellIs" dxfId="16" priority="8" operator="equal">
      <formula>0</formula>
    </cfRule>
    <cfRule type="cellIs" priority="9" operator="equal">
      <formula>0</formula>
    </cfRule>
  </conditionalFormatting>
  <conditionalFormatting sqref="L76">
    <cfRule type="cellIs" dxfId="15" priority="4" operator="lessThan">
      <formula>0</formula>
    </cfRule>
    <cfRule type="cellIs" dxfId="14" priority="5" operator="equal">
      <formula>0</formula>
    </cfRule>
    <cfRule type="cellIs" priority="6" operator="equal">
      <formula>0</formula>
    </cfRule>
  </conditionalFormatting>
  <conditionalFormatting sqref="U76">
    <cfRule type="cellIs" dxfId="13" priority="1" operator="lessThan">
      <formula>0</formula>
    </cfRule>
    <cfRule type="cellIs" dxfId="12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4" r:id="rId4" name="Label2">
          <controlPr defaultSize="0" autoLine="0" r:id="rId5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4" name="Label2"/>
      </mc:Fallback>
    </mc:AlternateContent>
    <mc:AlternateContent xmlns:mc="http://schemas.openxmlformats.org/markup-compatibility/2006">
      <mc:Choice Requires="x14">
        <control shapeId="4103" r:id="rId6" name="Label1">
          <controlPr defaultSize="0" autoLine="0" r:id="rId7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6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2021-05-17T21:24:24Z</dcterms:modified>
</cp:coreProperties>
</file>