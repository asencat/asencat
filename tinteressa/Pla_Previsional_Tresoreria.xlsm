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Asencat\asencat\tinteressa\"/>
    </mc:Choice>
  </mc:AlternateContent>
  <xr:revisionPtr revIDLastSave="0" documentId="13_ncr:1_{70656E03-F226-4661-A07A-DEAF278D7F2A}" xr6:coauthVersionLast="46" xr6:coauthVersionMax="46" xr10:uidLastSave="{00000000-0000-0000-0000-000000000000}"/>
  <bookViews>
    <workbookView xWindow="840" yWindow="1065" windowWidth="15630" windowHeight="9780" tabRatio="715" xr2:uid="{6A951FF4-793F-47CC-A3B9-83D81C8C0BFA}"/>
  </bookViews>
  <sheets>
    <sheet name="PLA VIABILITAT" sheetId="9" r:id="rId1"/>
    <sheet name="PLA VIABILITAT-ORIG" sheetId="8" state="hidden" r:id="rId2"/>
    <sheet name="Taules" sheetId="3" state="hidden" r:id="rId3"/>
  </sheets>
  <functionGroups builtInGroupCount="19"/>
  <definedNames>
    <definedName name="irpf" localSheetId="0">Taules!$C$4:$C$11</definedName>
    <definedName name="irpf" localSheetId="1">Taules!$C$4:$C$11</definedName>
    <definedName name="Iva" localSheetId="0">Taules!$B$4:$B$7</definedName>
    <definedName name="Iva" localSheetId="1">Taules!$B$4:$B$7</definedName>
    <definedName name="Periòde" localSheetId="0">Tabla1[Periòde]</definedName>
    <definedName name="Periòde" localSheetId="1">Tabla1[Periòde]</definedName>
    <definedName name="Periòde">Tabla1[Periòde]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7" i="9" l="1"/>
  <c r="C77" i="9"/>
  <c r="E74" i="9"/>
  <c r="C74" i="9"/>
  <c r="N43" i="9"/>
  <c r="E8" i="9"/>
  <c r="C8" i="9"/>
  <c r="C19" i="9"/>
  <c r="C26" i="9"/>
  <c r="C39" i="9"/>
  <c r="C43" i="9"/>
  <c r="E43" i="9"/>
  <c r="E26" i="9"/>
  <c r="C69" i="9"/>
  <c r="E69" i="9"/>
  <c r="F88" i="9"/>
  <c r="E64" i="9"/>
  <c r="C64" i="9"/>
  <c r="T61" i="9"/>
  <c r="Q61" i="9"/>
  <c r="N61" i="9"/>
  <c r="K61" i="9"/>
  <c r="E61" i="9"/>
  <c r="C61" i="9"/>
  <c r="T55" i="9"/>
  <c r="Q55" i="9"/>
  <c r="N55" i="9"/>
  <c r="K55" i="9"/>
  <c r="E55" i="9"/>
  <c r="C55" i="9"/>
  <c r="T43" i="9"/>
  <c r="Q43" i="9"/>
  <c r="K43" i="9"/>
  <c r="E39" i="9"/>
  <c r="E19" i="9"/>
  <c r="E16" i="9"/>
  <c r="C16" i="9"/>
  <c r="E14" i="9"/>
  <c r="C14" i="9"/>
  <c r="K43" i="8"/>
  <c r="N43" i="8"/>
  <c r="Q43" i="8"/>
  <c r="T43" i="8"/>
  <c r="O79" i="9"/>
  <c r="L76" i="9"/>
  <c r="R79" i="9"/>
  <c r="O49" i="9"/>
  <c r="R75" i="9"/>
  <c r="I78" i="9"/>
  <c r="L49" i="9"/>
  <c r="O50" i="9"/>
  <c r="O78" i="9"/>
  <c r="I49" i="9"/>
  <c r="I50" i="9"/>
  <c r="I75" i="9"/>
  <c r="J49" i="9"/>
  <c r="L78" i="9"/>
  <c r="L75" i="9"/>
  <c r="L79" i="9"/>
  <c r="R50" i="9"/>
  <c r="O76" i="9"/>
  <c r="I79" i="9"/>
  <c r="I76" i="9"/>
  <c r="R76" i="9"/>
  <c r="L50" i="9"/>
  <c r="R49" i="9"/>
  <c r="O75" i="9"/>
  <c r="R78" i="9"/>
  <c r="U49" i="9" l="1"/>
  <c r="U50" i="9"/>
  <c r="U76" i="9"/>
  <c r="U75" i="9"/>
  <c r="E80" i="9"/>
  <c r="U78" i="9"/>
  <c r="U79" i="9"/>
  <c r="C80" i="9"/>
  <c r="L74" i="9"/>
  <c r="O77" i="9"/>
  <c r="R74" i="9"/>
  <c r="O74" i="9"/>
  <c r="L77" i="9"/>
  <c r="R77" i="9"/>
  <c r="I74" i="9"/>
  <c r="I77" i="9"/>
  <c r="E51" i="9"/>
  <c r="C51" i="9"/>
  <c r="C39" i="8"/>
  <c r="E39" i="8"/>
  <c r="C14" i="8"/>
  <c r="E14" i="8"/>
  <c r="E16" i="8"/>
  <c r="C16" i="8"/>
  <c r="E19" i="8"/>
  <c r="C19" i="8"/>
  <c r="E26" i="8"/>
  <c r="C26" i="8"/>
  <c r="C43" i="8"/>
  <c r="E43" i="8"/>
  <c r="F79" i="8"/>
  <c r="E60" i="8"/>
  <c r="C60" i="8"/>
  <c r="E63" i="8"/>
  <c r="C63" i="8"/>
  <c r="E54" i="8"/>
  <c r="C54" i="8"/>
  <c r="S49" i="9"/>
  <c r="O41" i="8"/>
  <c r="O46" i="8"/>
  <c r="I71" i="9"/>
  <c r="L66" i="9"/>
  <c r="I59" i="9"/>
  <c r="L44" i="9"/>
  <c r="P49" i="9"/>
  <c r="O38" i="9"/>
  <c r="O27" i="9"/>
  <c r="R30" i="9"/>
  <c r="L34" i="9"/>
  <c r="I24" i="9"/>
  <c r="O17" i="9"/>
  <c r="L9" i="9"/>
  <c r="O45" i="8"/>
  <c r="R46" i="8"/>
  <c r="L71" i="9"/>
  <c r="I66" i="9"/>
  <c r="O63" i="9"/>
  <c r="R58" i="9"/>
  <c r="R44" i="9"/>
  <c r="O42" i="9"/>
  <c r="I35" i="9"/>
  <c r="I29" i="9"/>
  <c r="I32" i="9"/>
  <c r="O23" i="9"/>
  <c r="R18" i="9"/>
  <c r="R12" i="9"/>
  <c r="L70" i="8"/>
  <c r="L41" i="8"/>
  <c r="O71" i="9"/>
  <c r="R68" i="9"/>
  <c r="O59" i="9"/>
  <c r="L59" i="9"/>
  <c r="S50" i="9"/>
  <c r="I42" i="9"/>
  <c r="L37" i="9"/>
  <c r="R27" i="9"/>
  <c r="R29" i="9"/>
  <c r="L22" i="9"/>
  <c r="R20" i="9"/>
  <c r="L15" i="9"/>
  <c r="R10" i="9"/>
  <c r="R45" i="8"/>
  <c r="R69" i="8"/>
  <c r="O70" i="9"/>
  <c r="I68" i="9"/>
  <c r="R57" i="9"/>
  <c r="L48" i="9"/>
  <c r="L46" i="9"/>
  <c r="L40" i="9"/>
  <c r="I38" i="9"/>
  <c r="R32" i="9"/>
  <c r="I20" i="9"/>
  <c r="I21" i="9"/>
  <c r="O11" i="9"/>
  <c r="O12" i="9"/>
  <c r="J50" i="9"/>
  <c r="L12" i="8"/>
  <c r="I70" i="8"/>
  <c r="R65" i="9"/>
  <c r="R63" i="9"/>
  <c r="L58" i="9"/>
  <c r="L47" i="9"/>
  <c r="L42" i="9"/>
  <c r="I36" i="9"/>
  <c r="O28" i="9"/>
  <c r="O33" i="9"/>
  <c r="O20" i="9"/>
  <c r="O21" i="9"/>
  <c r="R17" i="9"/>
  <c r="L11" i="9"/>
  <c r="I69" i="8"/>
  <c r="L46" i="8"/>
  <c r="R70" i="9"/>
  <c r="I65" i="9"/>
  <c r="I58" i="9"/>
  <c r="L57" i="9"/>
  <c r="I44" i="9"/>
  <c r="R37" i="9"/>
  <c r="I28" i="9"/>
  <c r="J28" i="9" s="1"/>
  <c r="R31" i="9"/>
  <c r="I23" i="9"/>
  <c r="O15" i="9"/>
  <c r="R9" i="9"/>
  <c r="O47" i="8"/>
  <c r="I41" i="8"/>
  <c r="I70" i="9"/>
  <c r="R66" i="9"/>
  <c r="O60" i="9"/>
  <c r="M50" i="9"/>
  <c r="R47" i="9"/>
  <c r="O41" i="9"/>
  <c r="O37" i="9"/>
  <c r="I27" i="9"/>
  <c r="L29" i="9"/>
  <c r="I25" i="9"/>
  <c r="L23" i="9"/>
  <c r="I11" i="9"/>
  <c r="I13" i="9"/>
  <c r="R12" i="8"/>
  <c r="R70" i="8"/>
  <c r="T65" i="9"/>
  <c r="I63" i="9"/>
  <c r="I56" i="9"/>
  <c r="M49" i="9"/>
  <c r="R41" i="9"/>
  <c r="L36" i="9"/>
  <c r="O31" i="9"/>
  <c r="I30" i="9"/>
  <c r="O25" i="9"/>
  <c r="I18" i="9"/>
  <c r="O13" i="9"/>
  <c r="O69" i="8"/>
  <c r="Q69" i="8"/>
  <c r="R67" i="9"/>
  <c r="I62" i="9"/>
  <c r="O56" i="9"/>
  <c r="O44" i="9"/>
  <c r="L41" i="9"/>
  <c r="R38" i="9"/>
  <c r="I31" i="9"/>
  <c r="K31" i="9" s="1"/>
  <c r="L30" i="9"/>
  <c r="R25" i="9"/>
  <c r="O24" i="9"/>
  <c r="R15" i="9"/>
  <c r="L13" i="9"/>
  <c r="I44" i="8"/>
  <c r="R47" i="8"/>
  <c r="L65" i="9"/>
  <c r="O66" i="9"/>
  <c r="R56" i="9"/>
  <c r="I46" i="9"/>
  <c r="I47" i="9"/>
  <c r="R35" i="9"/>
  <c r="L27" i="9"/>
  <c r="O30" i="9"/>
  <c r="O22" i="9"/>
  <c r="L18" i="9"/>
  <c r="R13" i="9"/>
  <c r="I12" i="9"/>
  <c r="I47" i="8"/>
  <c r="I45" i="8"/>
  <c r="I67" i="9"/>
  <c r="R62" i="9"/>
  <c r="O58" i="9"/>
  <c r="O48" i="9"/>
  <c r="I41" i="9"/>
  <c r="L38" i="9"/>
  <c r="O29" i="9"/>
  <c r="J31" i="9"/>
  <c r="O32" i="9"/>
  <c r="L21" i="9"/>
  <c r="I17" i="9"/>
  <c r="L10" i="9"/>
  <c r="L69" i="8"/>
  <c r="M69" i="8"/>
  <c r="R71" i="9"/>
  <c r="L67" i="9"/>
  <c r="O62" i="9"/>
  <c r="R60" i="9"/>
  <c r="I48" i="9"/>
  <c r="R42" i="9"/>
  <c r="I37" i="9"/>
  <c r="I33" i="9"/>
  <c r="L32" i="9"/>
  <c r="I22" i="9"/>
  <c r="L17" i="9"/>
  <c r="R11" i="9"/>
  <c r="P50" i="9"/>
  <c r="O70" i="8"/>
  <c r="O12" i="8"/>
  <c r="O67" i="9"/>
  <c r="L60" i="9"/>
  <c r="O57" i="9"/>
  <c r="O47" i="9"/>
  <c r="O35" i="9"/>
  <c r="L28" i="9"/>
  <c r="N28" i="9" s="1"/>
  <c r="L31" i="9"/>
  <c r="R28" i="9"/>
  <c r="R23" i="9"/>
  <c r="L25" i="9"/>
  <c r="L12" i="9"/>
  <c r="I9" i="9"/>
  <c r="I12" i="8"/>
  <c r="J70" i="8"/>
  <c r="O68" i="9"/>
  <c r="L63" i="9"/>
  <c r="I60" i="9"/>
  <c r="O46" i="9"/>
  <c r="I40" i="9"/>
  <c r="O36" i="9"/>
  <c r="I34" i="9"/>
  <c r="M28" i="9"/>
  <c r="R22" i="9"/>
  <c r="Q17" i="9"/>
  <c r="I10" i="9"/>
  <c r="L47" i="8"/>
  <c r="I46" i="8"/>
  <c r="M47" i="8"/>
  <c r="L68" i="9"/>
  <c r="L62" i="9"/>
  <c r="R59" i="9"/>
  <c r="R46" i="9"/>
  <c r="R40" i="9"/>
  <c r="R36" i="9"/>
  <c r="R33" i="9"/>
  <c r="R34" i="9"/>
  <c r="L24" i="9"/>
  <c r="L20" i="9"/>
  <c r="O18" i="9"/>
  <c r="O9" i="9"/>
  <c r="L45" i="8"/>
  <c r="N69" i="8"/>
  <c r="L70" i="9"/>
  <c r="M70" i="9" s="1"/>
  <c r="O65" i="9"/>
  <c r="L56" i="9"/>
  <c r="I57" i="9"/>
  <c r="R48" i="9"/>
  <c r="O40" i="9"/>
  <c r="L35" i="9"/>
  <c r="L33" i="9"/>
  <c r="O34" i="9"/>
  <c r="R21" i="9"/>
  <c r="R24" i="9"/>
  <c r="I15" i="9"/>
  <c r="O10" i="9"/>
  <c r="N24" i="9"/>
  <c r="U74" i="9" l="1"/>
  <c r="U77" i="9"/>
  <c r="U23" i="9"/>
  <c r="O43" i="9"/>
  <c r="O55" i="9"/>
  <c r="O16" i="9"/>
  <c r="L43" i="9"/>
  <c r="I43" i="9"/>
  <c r="L16" i="9"/>
  <c r="U21" i="9"/>
  <c r="R43" i="9"/>
  <c r="L55" i="9"/>
  <c r="O8" i="9"/>
  <c r="L19" i="9"/>
  <c r="U47" i="8"/>
  <c r="U22" i="9"/>
  <c r="U69" i="8"/>
  <c r="U25" i="9"/>
  <c r="R26" i="9"/>
  <c r="L61" i="9"/>
  <c r="U9" i="9"/>
  <c r="I8" i="9"/>
  <c r="U29" i="9"/>
  <c r="L88" i="9"/>
  <c r="U13" i="9"/>
  <c r="U37" i="9"/>
  <c r="U59" i="9"/>
  <c r="U67" i="9"/>
  <c r="U38" i="9"/>
  <c r="U56" i="9"/>
  <c r="I55" i="9"/>
  <c r="L64" i="9"/>
  <c r="I69" i="9"/>
  <c r="U70" i="9"/>
  <c r="L68" i="8"/>
  <c r="U24" i="9"/>
  <c r="U31" i="9"/>
  <c r="L8" i="9"/>
  <c r="R14" i="9"/>
  <c r="R19" i="9"/>
  <c r="U12" i="9"/>
  <c r="U28" i="9"/>
  <c r="U66" i="9"/>
  <c r="R64" i="9"/>
  <c r="U15" i="9"/>
  <c r="U14" i="9" s="1"/>
  <c r="I14" i="9"/>
  <c r="O39" i="9"/>
  <c r="U58" i="9"/>
  <c r="O64" i="9"/>
  <c r="U40" i="9"/>
  <c r="I39" i="9"/>
  <c r="U57" i="9"/>
  <c r="U63" i="9"/>
  <c r="L39" i="9"/>
  <c r="L69" i="9"/>
  <c r="U60" i="9"/>
  <c r="R68" i="8"/>
  <c r="U36" i="9"/>
  <c r="I19" i="9"/>
  <c r="U20" i="9"/>
  <c r="I88" i="9"/>
  <c r="U11" i="9"/>
  <c r="U42" i="9"/>
  <c r="I26" i="9"/>
  <c r="U27" i="9"/>
  <c r="U44" i="9"/>
  <c r="R8" i="9"/>
  <c r="O19" i="9"/>
  <c r="O88" i="9"/>
  <c r="M88" i="9"/>
  <c r="I16" i="9"/>
  <c r="U17" i="9"/>
  <c r="O26" i="9"/>
  <c r="U47" i="9"/>
  <c r="I61" i="9"/>
  <c r="U62" i="9"/>
  <c r="R39" i="9"/>
  <c r="O68" i="8"/>
  <c r="U46" i="8"/>
  <c r="U10" i="9"/>
  <c r="R16" i="9"/>
  <c r="R55" i="9"/>
  <c r="O14" i="9"/>
  <c r="U30" i="9"/>
  <c r="L26" i="9"/>
  <c r="R88" i="9"/>
  <c r="U18" i="9"/>
  <c r="L14" i="9"/>
  <c r="O69" i="9"/>
  <c r="U32" i="9"/>
  <c r="R61" i="9"/>
  <c r="U33" i="9"/>
  <c r="U46" i="9"/>
  <c r="U34" i="9"/>
  <c r="O61" i="9"/>
  <c r="U68" i="9"/>
  <c r="U35" i="9"/>
  <c r="U41" i="9"/>
  <c r="U48" i="9"/>
  <c r="U65" i="9"/>
  <c r="I64" i="9"/>
  <c r="R69" i="9"/>
  <c r="U71" i="9"/>
  <c r="U70" i="8"/>
  <c r="N68" i="8"/>
  <c r="U12" i="8"/>
  <c r="I68" i="8"/>
  <c r="M24" i="9"/>
  <c r="S41" i="9"/>
  <c r="J47" i="8"/>
  <c r="I9" i="8"/>
  <c r="P71" i="9"/>
  <c r="J67" i="9"/>
  <c r="M65" i="9"/>
  <c r="J57" i="9"/>
  <c r="P56" i="9"/>
  <c r="K42" i="9"/>
  <c r="T41" i="9"/>
  <c r="J38" i="9"/>
  <c r="M32" i="9"/>
  <c r="T29" i="9"/>
  <c r="P33" i="9"/>
  <c r="P22" i="9"/>
  <c r="M20" i="9"/>
  <c r="P24" i="9"/>
  <c r="M18" i="9"/>
  <c r="K13" i="9"/>
  <c r="K41" i="8"/>
  <c r="T68" i="9"/>
  <c r="S56" i="9"/>
  <c r="K41" i="9"/>
  <c r="K28" i="9"/>
  <c r="K33" i="9"/>
  <c r="S23" i="9"/>
  <c r="N70" i="9"/>
  <c r="L40" i="8"/>
  <c r="J69" i="8"/>
  <c r="N40" i="8"/>
  <c r="N68" i="9"/>
  <c r="S65" i="9"/>
  <c r="M62" i="9"/>
  <c r="J56" i="9"/>
  <c r="J41" i="9"/>
  <c r="Q40" i="9"/>
  <c r="S37" i="9"/>
  <c r="P27" i="9"/>
  <c r="Q31" i="9"/>
  <c r="S27" i="9"/>
  <c r="T25" i="9"/>
  <c r="S24" i="9"/>
  <c r="N25" i="9"/>
  <c r="J17" i="9"/>
  <c r="T15" i="9"/>
  <c r="N30" i="9"/>
  <c r="M22" i="9"/>
  <c r="P69" i="8"/>
  <c r="J41" i="8"/>
  <c r="S69" i="8"/>
  <c r="P67" i="9"/>
  <c r="Q67" i="9"/>
  <c r="J63" i="9"/>
  <c r="S58" i="9"/>
  <c r="M48" i="9"/>
  <c r="J42" i="9"/>
  <c r="P38" i="9"/>
  <c r="P32" i="9"/>
  <c r="K32" i="9"/>
  <c r="T33" i="9"/>
  <c r="S28" i="9"/>
  <c r="K22" i="9"/>
  <c r="J25" i="9"/>
  <c r="M17" i="9"/>
  <c r="Q15" i="9"/>
  <c r="M41" i="8"/>
  <c r="K68" i="9"/>
  <c r="J48" i="9"/>
  <c r="J34" i="9"/>
  <c r="S15" i="9"/>
  <c r="S40" i="9"/>
  <c r="K25" i="9"/>
  <c r="P70" i="8"/>
  <c r="O42" i="8"/>
  <c r="P70" i="9"/>
  <c r="Q68" i="9"/>
  <c r="P68" i="9"/>
  <c r="P59" i="9"/>
  <c r="S48" i="9"/>
  <c r="Q41" i="9"/>
  <c r="K38" i="9"/>
  <c r="M36" i="9"/>
  <c r="J33" i="9"/>
  <c r="T31" i="9"/>
  <c r="S34" i="9"/>
  <c r="K21" i="9"/>
  <c r="P20" i="9"/>
  <c r="T23" i="9"/>
  <c r="P18" i="9"/>
  <c r="Q13" i="9"/>
  <c r="S71" i="9"/>
  <c r="J68" i="9"/>
  <c r="J47" i="9"/>
  <c r="P37" i="9"/>
  <c r="S30" i="9"/>
  <c r="K23" i="9"/>
  <c r="P17" i="9"/>
  <c r="M46" i="8"/>
  <c r="M40" i="8"/>
  <c r="P41" i="8"/>
  <c r="J71" i="9"/>
  <c r="M68" i="9"/>
  <c r="P66" i="9"/>
  <c r="P58" i="9"/>
  <c r="M57" i="9"/>
  <c r="N42" i="9"/>
  <c r="Q38" i="9"/>
  <c r="N37" i="9"/>
  <c r="J32" i="9"/>
  <c r="Q28" i="9"/>
  <c r="N34" i="9"/>
  <c r="N23" i="9"/>
  <c r="N21" i="9"/>
  <c r="S21" i="9"/>
  <c r="N17" i="9"/>
  <c r="M13" i="9"/>
  <c r="T27" i="9"/>
  <c r="T17" i="9"/>
  <c r="I42" i="8"/>
  <c r="M70" i="8"/>
  <c r="N67" i="9"/>
  <c r="J66" i="9"/>
  <c r="M63" i="9"/>
  <c r="M56" i="9"/>
  <c r="T42" i="9"/>
  <c r="N41" i="9"/>
  <c r="T38" i="9"/>
  <c r="J29" i="9"/>
  <c r="J30" i="9"/>
  <c r="N33" i="9"/>
  <c r="J20" i="9"/>
  <c r="S22" i="9"/>
  <c r="P21" i="9"/>
  <c r="S18" i="9"/>
  <c r="N13" i="9"/>
  <c r="I40" i="8"/>
  <c r="T66" i="9"/>
  <c r="P60" i="9"/>
  <c r="P40" i="9"/>
  <c r="K37" i="9"/>
  <c r="T28" i="9"/>
  <c r="T20" i="9"/>
  <c r="J13" i="9"/>
  <c r="N65" i="9"/>
  <c r="M40" i="9"/>
  <c r="P34" i="9"/>
  <c r="R40" i="8"/>
  <c r="O40" i="8"/>
  <c r="J70" i="9"/>
  <c r="K65" i="9"/>
  <c r="S62" i="9"/>
  <c r="M60" i="9"/>
  <c r="P48" i="9"/>
  <c r="M41" i="9"/>
  <c r="S36" i="9"/>
  <c r="M30" i="9"/>
  <c r="Q32" i="9"/>
  <c r="Q27" i="9"/>
  <c r="N27" i="9"/>
  <c r="Q25" i="9"/>
  <c r="P25" i="9"/>
  <c r="Q23" i="9"/>
  <c r="K15" i="9"/>
  <c r="S47" i="8"/>
  <c r="K70" i="9"/>
  <c r="P62" i="9"/>
  <c r="Q42" i="9"/>
  <c r="J37" i="9"/>
  <c r="Q29" i="9"/>
  <c r="Q22" i="9"/>
  <c r="S17" i="9"/>
  <c r="Q18" i="9"/>
  <c r="P46" i="8"/>
  <c r="T69" i="8"/>
  <c r="Q70" i="9"/>
  <c r="S66" i="9"/>
  <c r="N66" i="9"/>
  <c r="J58" i="9"/>
  <c r="S47" i="9"/>
  <c r="P42" i="9"/>
  <c r="Q37" i="9"/>
  <c r="M34" i="9"/>
  <c r="N29" i="9"/>
  <c r="K27" i="9"/>
  <c r="S32" i="9"/>
  <c r="M25" i="9"/>
  <c r="M23" i="9"/>
  <c r="M21" i="9"/>
  <c r="K18" i="9"/>
  <c r="S13" i="9"/>
  <c r="Q21" i="9"/>
  <c r="T13" i="9"/>
  <c r="R42" i="8"/>
  <c r="S70" i="8"/>
  <c r="M71" i="9"/>
  <c r="J65" i="9"/>
  <c r="Q65" i="9"/>
  <c r="M59" i="9"/>
  <c r="J59" i="9"/>
  <c r="T40" i="9"/>
  <c r="P36" i="9"/>
  <c r="T37" i="9"/>
  <c r="T34" i="9"/>
  <c r="J27" i="9"/>
  <c r="N32" i="9"/>
  <c r="N20" i="9"/>
  <c r="Q20" i="9"/>
  <c r="J22" i="9"/>
  <c r="N18" i="9"/>
  <c r="P13" i="9"/>
  <c r="L42" i="8"/>
  <c r="S67" i="9"/>
  <c r="M58" i="9"/>
  <c r="M42" i="9"/>
  <c r="P29" i="9"/>
  <c r="N31" i="9"/>
  <c r="N22" i="9"/>
  <c r="K30" i="9"/>
  <c r="K29" i="9"/>
  <c r="N41" i="8"/>
  <c r="P47" i="8"/>
  <c r="Q66" i="9"/>
  <c r="K66" i="9"/>
  <c r="J62" i="9"/>
  <c r="S57" i="9"/>
  <c r="N40" i="9"/>
  <c r="K40" i="9"/>
  <c r="J36" i="9"/>
  <c r="M29" i="9"/>
  <c r="Q33" i="9"/>
  <c r="T30" i="9"/>
  <c r="T22" i="9"/>
  <c r="J23" i="9"/>
  <c r="K20" i="9"/>
  <c r="J18" i="9"/>
  <c r="M15" i="9"/>
  <c r="S40" i="8"/>
  <c r="P65" i="9"/>
  <c r="J60" i="9"/>
  <c r="P41" i="9"/>
  <c r="P30" i="9"/>
  <c r="M33" i="9"/>
  <c r="Q24" i="9"/>
  <c r="N15" i="9"/>
  <c r="S46" i="8"/>
  <c r="K69" i="8"/>
  <c r="P40" i="8"/>
  <c r="T67" i="9"/>
  <c r="M66" i="9"/>
  <c r="P63" i="9"/>
  <c r="S59" i="9"/>
  <c r="P47" i="9"/>
  <c r="S42" i="9"/>
  <c r="S38" i="9"/>
  <c r="S33" i="9"/>
  <c r="S29" i="9"/>
  <c r="Q34" i="9"/>
  <c r="M31" i="9"/>
  <c r="S25" i="9"/>
  <c r="J21" i="9"/>
  <c r="T18" i="9"/>
  <c r="P15" i="9"/>
  <c r="K34" i="9"/>
  <c r="P23" i="9"/>
  <c r="S31" i="9"/>
  <c r="Q41" i="8"/>
  <c r="J46" i="8"/>
  <c r="T70" i="9"/>
  <c r="S68" i="9"/>
  <c r="K67" i="9"/>
  <c r="P57" i="9"/>
  <c r="M47" i="9"/>
  <c r="J40" i="9"/>
  <c r="N38" i="9"/>
  <c r="T32" i="9"/>
  <c r="M27" i="9"/>
  <c r="Q30" i="9"/>
  <c r="P28" i="9"/>
  <c r="S20" i="9"/>
  <c r="T21" i="9"/>
  <c r="J24" i="9"/>
  <c r="J15" i="9"/>
  <c r="R41" i="8"/>
  <c r="S70" i="9"/>
  <c r="M67" i="9"/>
  <c r="S60" i="9"/>
  <c r="M38" i="9"/>
  <c r="P31" i="9"/>
  <c r="K24" i="9"/>
  <c r="K17" i="9"/>
  <c r="S63" i="9"/>
  <c r="M37" i="9"/>
  <c r="T24" i="9"/>
  <c r="T42" i="8"/>
  <c r="Q16" i="9" l="1"/>
  <c r="M43" i="8"/>
  <c r="N69" i="9"/>
  <c r="J14" i="9"/>
  <c r="N8" i="9"/>
  <c r="U43" i="9"/>
  <c r="Q8" i="9"/>
  <c r="K69" i="9"/>
  <c r="J43" i="9"/>
  <c r="Q14" i="9"/>
  <c r="J8" i="9"/>
  <c r="L80" i="9"/>
  <c r="K16" i="9"/>
  <c r="N14" i="9"/>
  <c r="R80" i="9"/>
  <c r="O80" i="9"/>
  <c r="S14" i="9"/>
  <c r="I80" i="9"/>
  <c r="U69" i="9"/>
  <c r="U64" i="9"/>
  <c r="M14" i="9"/>
  <c r="J39" i="9"/>
  <c r="N39" i="9"/>
  <c r="S16" i="9"/>
  <c r="N16" i="9"/>
  <c r="Q39" i="9"/>
  <c r="S39" i="9"/>
  <c r="P14" i="9"/>
  <c r="U61" i="9"/>
  <c r="U19" i="9"/>
  <c r="R51" i="9"/>
  <c r="K64" i="9"/>
  <c r="K80" i="9" s="1"/>
  <c r="I87" i="9" s="1"/>
  <c r="J61" i="9"/>
  <c r="K19" i="9"/>
  <c r="K14" i="9"/>
  <c r="T68" i="8"/>
  <c r="J68" i="8"/>
  <c r="S43" i="8"/>
  <c r="T16" i="9"/>
  <c r="J19" i="9"/>
  <c r="Q69" i="9"/>
  <c r="M16" i="9"/>
  <c r="P16" i="9"/>
  <c r="K8" i="9"/>
  <c r="P69" i="9"/>
  <c r="T14" i="9"/>
  <c r="U26" i="9"/>
  <c r="U16" i="9"/>
  <c r="U39" i="9"/>
  <c r="U55" i="9"/>
  <c r="I51" i="9"/>
  <c r="L51" i="9"/>
  <c r="U8" i="9"/>
  <c r="P43" i="8"/>
  <c r="S8" i="9"/>
  <c r="P8" i="9"/>
  <c r="O51" i="9"/>
  <c r="J69" i="9"/>
  <c r="T69" i="9"/>
  <c r="J64" i="9"/>
  <c r="Q64" i="9"/>
  <c r="T64" i="9"/>
  <c r="P61" i="9"/>
  <c r="J55" i="9"/>
  <c r="K39" i="9"/>
  <c r="K26" i="9"/>
  <c r="J26" i="9"/>
  <c r="J16" i="9"/>
  <c r="N64" i="9"/>
  <c r="T19" i="9"/>
  <c r="Q19" i="9"/>
  <c r="M64" i="9"/>
  <c r="T26" i="9"/>
  <c r="T39" i="9"/>
  <c r="N26" i="9"/>
  <c r="P39" i="9"/>
  <c r="S61" i="9"/>
  <c r="M55" i="9"/>
  <c r="P19" i="9"/>
  <c r="P64" i="9"/>
  <c r="S43" i="9"/>
  <c r="S55" i="9"/>
  <c r="M43" i="9"/>
  <c r="S26" i="9"/>
  <c r="N19" i="9"/>
  <c r="P55" i="9"/>
  <c r="M19" i="9"/>
  <c r="S64" i="9"/>
  <c r="M69" i="9"/>
  <c r="M8" i="9"/>
  <c r="K68" i="8"/>
  <c r="P43" i="9"/>
  <c r="S69" i="9"/>
  <c r="S19" i="9"/>
  <c r="J43" i="8"/>
  <c r="M39" i="9"/>
  <c r="M61" i="9"/>
  <c r="M26" i="9"/>
  <c r="P26" i="9"/>
  <c r="T8" i="9"/>
  <c r="Q26" i="9"/>
  <c r="S68" i="8"/>
  <c r="Q68" i="8"/>
  <c r="P68" i="8"/>
  <c r="M68" i="8"/>
  <c r="O39" i="8"/>
  <c r="L39" i="8"/>
  <c r="I39" i="8"/>
  <c r="R39" i="8"/>
  <c r="U41" i="8"/>
  <c r="U40" i="8"/>
  <c r="U42" i="8"/>
  <c r="E71" i="8"/>
  <c r="E68" i="8" s="1"/>
  <c r="C71" i="8"/>
  <c r="C68" i="8" s="1"/>
  <c r="C48" i="8"/>
  <c r="E48" i="8"/>
  <c r="S42" i="8"/>
  <c r="N42" i="8"/>
  <c r="P42" i="8"/>
  <c r="K42" i="8"/>
  <c r="K40" i="8"/>
  <c r="Q40" i="8"/>
  <c r="S41" i="8"/>
  <c r="J40" i="8"/>
  <c r="J42" i="8"/>
  <c r="T40" i="8"/>
  <c r="M42" i="8"/>
  <c r="Q42" i="8"/>
  <c r="T41" i="8"/>
  <c r="Q80" i="9" l="1"/>
  <c r="O87" i="9" s="1"/>
  <c r="I82" i="9"/>
  <c r="L82" i="9" s="1"/>
  <c r="O82" i="9" s="1"/>
  <c r="R82" i="9" s="1"/>
  <c r="U80" i="9"/>
  <c r="N51" i="9"/>
  <c r="L86" i="9" s="1"/>
  <c r="P80" i="9"/>
  <c r="U51" i="9"/>
  <c r="N80" i="9"/>
  <c r="L87" i="9" s="1"/>
  <c r="J39" i="8"/>
  <c r="T80" i="9"/>
  <c r="R87" i="9" s="1"/>
  <c r="K51" i="9"/>
  <c r="I86" i="9" s="1"/>
  <c r="J51" i="9"/>
  <c r="J80" i="9"/>
  <c r="Q51" i="9"/>
  <c r="O86" i="9" s="1"/>
  <c r="S51" i="9"/>
  <c r="T51" i="9"/>
  <c r="R86" i="9" s="1"/>
  <c r="S39" i="8"/>
  <c r="P39" i="8"/>
  <c r="M51" i="9"/>
  <c r="S80" i="9"/>
  <c r="M80" i="9"/>
  <c r="P51" i="9"/>
  <c r="K39" i="8"/>
  <c r="T39" i="8"/>
  <c r="Q39" i="8"/>
  <c r="N39" i="8"/>
  <c r="M39" i="8"/>
  <c r="U39" i="8"/>
  <c r="U87" i="9" l="1"/>
  <c r="U86" i="9"/>
  <c r="I85" i="9"/>
  <c r="L85" i="9" s="1"/>
  <c r="O85" i="9" s="1"/>
  <c r="R85" i="9" s="1"/>
  <c r="U85" i="9" s="1"/>
  <c r="T60" i="8"/>
  <c r="I43" i="8"/>
  <c r="U45" i="8"/>
  <c r="Q54" i="8"/>
  <c r="R18" i="8"/>
  <c r="R67" i="8"/>
  <c r="O36" i="8"/>
  <c r="L22" i="8"/>
  <c r="O61" i="8"/>
  <c r="O35" i="8"/>
  <c r="L33" i="8"/>
  <c r="R37" i="8"/>
  <c r="L29" i="8"/>
  <c r="I30" i="8"/>
  <c r="S18" i="8"/>
  <c r="I29" i="8"/>
  <c r="L10" i="8"/>
  <c r="O10" i="8"/>
  <c r="I66" i="8"/>
  <c r="L9" i="8"/>
  <c r="R27" i="8"/>
  <c r="I35" i="8"/>
  <c r="R65" i="8"/>
  <c r="I31" i="8"/>
  <c r="R59" i="8"/>
  <c r="L59" i="8"/>
  <c r="O31" i="8"/>
  <c r="I24" i="8"/>
  <c r="I37" i="8"/>
  <c r="P31" i="8"/>
  <c r="R32" i="8"/>
  <c r="O34" i="8"/>
  <c r="I32" i="8"/>
  <c r="O17" i="8"/>
  <c r="R38" i="8"/>
  <c r="I25" i="8"/>
  <c r="R9" i="8"/>
  <c r="L37" i="8"/>
  <c r="O55" i="8"/>
  <c r="O56" i="8"/>
  <c r="I62" i="8"/>
  <c r="I55" i="8"/>
  <c r="O15" i="8"/>
  <c r="L34" i="8"/>
  <c r="L62" i="8"/>
  <c r="L36" i="8"/>
  <c r="J29" i="8"/>
  <c r="R57" i="8"/>
  <c r="L31" i="8"/>
  <c r="L55" i="8"/>
  <c r="R56" i="8"/>
  <c r="L13" i="8"/>
  <c r="N34" i="8"/>
  <c r="I36" i="8"/>
  <c r="I13" i="8"/>
  <c r="O57" i="8"/>
  <c r="R28" i="8"/>
  <c r="L58" i="8"/>
  <c r="O27" i="8"/>
  <c r="P27" i="8" s="1"/>
  <c r="R62" i="8"/>
  <c r="O11" i="8"/>
  <c r="J30" i="8"/>
  <c r="I59" i="8"/>
  <c r="L15" i="8"/>
  <c r="L65" i="8"/>
  <c r="R29" i="8"/>
  <c r="O44" i="8"/>
  <c r="I28" i="8"/>
  <c r="I67" i="8"/>
  <c r="O59" i="8"/>
  <c r="L32" i="8"/>
  <c r="O13" i="8"/>
  <c r="L35" i="8"/>
  <c r="I56" i="8"/>
  <c r="I17" i="8"/>
  <c r="K17" i="8" s="1"/>
  <c r="O18" i="8"/>
  <c r="R58" i="8"/>
  <c r="O38" i="8"/>
  <c r="R30" i="8"/>
  <c r="J17" i="8"/>
  <c r="K30" i="8"/>
  <c r="R36" i="8"/>
  <c r="L38" i="8"/>
  <c r="O25" i="8"/>
  <c r="I58" i="8"/>
  <c r="R10" i="8"/>
  <c r="S67" i="8"/>
  <c r="L27" i="8"/>
  <c r="Q13" i="8"/>
  <c r="I57" i="8"/>
  <c r="R21" i="8"/>
  <c r="O64" i="8"/>
  <c r="L25" i="8"/>
  <c r="O66" i="8"/>
  <c r="L18" i="8"/>
  <c r="O30" i="8"/>
  <c r="I15" i="8"/>
  <c r="O62" i="8"/>
  <c r="R11" i="8"/>
  <c r="O21" i="8"/>
  <c r="R25" i="8"/>
  <c r="L30" i="8"/>
  <c r="M30" i="8" s="1"/>
  <c r="Q64" i="8"/>
  <c r="L20" i="8"/>
  <c r="R31" i="8"/>
  <c r="S31" i="8" s="1"/>
  <c r="R23" i="8"/>
  <c r="I64" i="8"/>
  <c r="J64" i="8" s="1"/>
  <c r="S27" i="8"/>
  <c r="R61" i="8"/>
  <c r="S28" i="8"/>
  <c r="N13" i="8"/>
  <c r="K28" i="8"/>
  <c r="L61" i="8"/>
  <c r="L44" i="8"/>
  <c r="O20" i="8"/>
  <c r="R44" i="8"/>
  <c r="M34" i="8"/>
  <c r="I33" i="8"/>
  <c r="O32" i="8"/>
  <c r="R13" i="8"/>
  <c r="R34" i="8"/>
  <c r="S34" i="8" s="1"/>
  <c r="I38" i="8"/>
  <c r="R55" i="8"/>
  <c r="O23" i="8"/>
  <c r="T28" i="8"/>
  <c r="I61" i="8"/>
  <c r="L21" i="8"/>
  <c r="L64" i="8"/>
  <c r="L67" i="8"/>
  <c r="I21" i="8"/>
  <c r="O29" i="8"/>
  <c r="P29" i="8" s="1"/>
  <c r="R35" i="8"/>
  <c r="L24" i="8"/>
  <c r="I11" i="8"/>
  <c r="I20" i="8"/>
  <c r="P57" i="8"/>
  <c r="P13" i="8"/>
  <c r="I27" i="8"/>
  <c r="L56" i="8"/>
  <c r="L28" i="8"/>
  <c r="L17" i="8"/>
  <c r="I10" i="8"/>
  <c r="R66" i="8"/>
  <c r="R22" i="8"/>
  <c r="O67" i="8"/>
  <c r="P67" i="8" s="1"/>
  <c r="R33" i="8"/>
  <c r="I18" i="8"/>
  <c r="Q29" i="8"/>
  <c r="O65" i="8"/>
  <c r="I23" i="8"/>
  <c r="O58" i="8"/>
  <c r="I34" i="8"/>
  <c r="T34" i="8"/>
  <c r="L11" i="8"/>
  <c r="K33" i="8"/>
  <c r="S32" i="8"/>
  <c r="R24" i="8"/>
  <c r="R20" i="8"/>
  <c r="S33" i="8"/>
  <c r="L23" i="8"/>
  <c r="Q21" i="8"/>
  <c r="S23" i="8"/>
  <c r="O22" i="8"/>
  <c r="P22" i="8" s="1"/>
  <c r="O28" i="8"/>
  <c r="R17" i="8"/>
  <c r="L66" i="8"/>
  <c r="S17" i="8"/>
  <c r="R15" i="8"/>
  <c r="O37" i="8"/>
  <c r="R64" i="8"/>
  <c r="T64" i="8" s="1"/>
  <c r="I22" i="8"/>
  <c r="L57" i="8"/>
  <c r="I65" i="8"/>
  <c r="K65" i="8" s="1"/>
  <c r="O24" i="8"/>
  <c r="T13" i="8"/>
  <c r="O33" i="8"/>
  <c r="K22" i="8"/>
  <c r="P18" i="8"/>
  <c r="O9" i="8"/>
  <c r="K29" i="8"/>
  <c r="T23" i="8"/>
  <c r="K67" i="8"/>
  <c r="J67" i="8"/>
  <c r="N67" i="8"/>
  <c r="M67" i="8"/>
  <c r="J27" i="8"/>
  <c r="Q33" i="8"/>
  <c r="P33" i="8"/>
  <c r="L26" i="8" l="1"/>
  <c r="U58" i="8"/>
  <c r="U62" i="8"/>
  <c r="U67" i="8"/>
  <c r="L19" i="8"/>
  <c r="U34" i="8"/>
  <c r="L14" i="8"/>
  <c r="R26" i="8"/>
  <c r="U24" i="8"/>
  <c r="I14" i="8"/>
  <c r="U15" i="8"/>
  <c r="O60" i="8"/>
  <c r="U11" i="8"/>
  <c r="I79" i="8"/>
  <c r="R19" i="8"/>
  <c r="U37" i="8"/>
  <c r="U31" i="8"/>
  <c r="R60" i="8"/>
  <c r="U66" i="8"/>
  <c r="U21" i="8"/>
  <c r="R43" i="8"/>
  <c r="R63" i="8"/>
  <c r="O43" i="8"/>
  <c r="U33" i="8"/>
  <c r="I16" i="8"/>
  <c r="U17" i="8"/>
  <c r="R79" i="8"/>
  <c r="O16" i="8"/>
  <c r="U13" i="8"/>
  <c r="U30" i="8"/>
  <c r="O8" i="8"/>
  <c r="L63" i="8"/>
  <c r="U36" i="8"/>
  <c r="O63" i="8"/>
  <c r="O54" i="8"/>
  <c r="U29" i="8"/>
  <c r="U23" i="8"/>
  <c r="N8" i="8"/>
  <c r="U10" i="8"/>
  <c r="I8" i="8"/>
  <c r="U32" i="8"/>
  <c r="L79" i="8"/>
  <c r="O26" i="8"/>
  <c r="L60" i="8"/>
  <c r="I19" i="8"/>
  <c r="U20" i="8"/>
  <c r="I63" i="8"/>
  <c r="U64" i="8"/>
  <c r="U25" i="8"/>
  <c r="U38" i="8"/>
  <c r="U65" i="8"/>
  <c r="L54" i="8"/>
  <c r="U55" i="8"/>
  <c r="I54" i="8"/>
  <c r="R8" i="8"/>
  <c r="R54" i="8"/>
  <c r="I26" i="8"/>
  <c r="U27" i="8"/>
  <c r="U22" i="8"/>
  <c r="O14" i="8"/>
  <c r="L16" i="8"/>
  <c r="I60" i="8"/>
  <c r="U61" i="8"/>
  <c r="U57" i="8"/>
  <c r="U56" i="8"/>
  <c r="U59" i="8"/>
  <c r="U35" i="8"/>
  <c r="O19" i="8"/>
  <c r="R14" i="8"/>
  <c r="U18" i="8"/>
  <c r="O79" i="8"/>
  <c r="M79" i="8"/>
  <c r="U28" i="8"/>
  <c r="U44" i="8"/>
  <c r="L43" i="8"/>
  <c r="U9" i="8"/>
  <c r="L8" i="8"/>
  <c r="R16" i="8"/>
  <c r="P8" i="8"/>
  <c r="T8" i="8"/>
  <c r="Q8" i="8"/>
  <c r="N60" i="8"/>
  <c r="N54" i="8"/>
  <c r="S16" i="8"/>
  <c r="Q60" i="8"/>
  <c r="K54" i="8"/>
  <c r="K60" i="8"/>
  <c r="T54" i="8"/>
  <c r="K27" i="8"/>
  <c r="T29" i="8"/>
  <c r="Q31" i="8"/>
  <c r="M61" i="8"/>
  <c r="N15" i="8"/>
  <c r="K23" i="8"/>
  <c r="M62" i="8"/>
  <c r="Q18" i="8"/>
  <c r="S13" i="8"/>
  <c r="S57" i="8"/>
  <c r="T33" i="8"/>
  <c r="Q27" i="8"/>
  <c r="T25" i="8"/>
  <c r="T32" i="8"/>
  <c r="T24" i="8"/>
  <c r="Q34" i="8"/>
  <c r="J65" i="8"/>
  <c r="N21" i="8"/>
  <c r="S65" i="8"/>
  <c r="Q23" i="8"/>
  <c r="M58" i="8"/>
  <c r="S25" i="8"/>
  <c r="P56" i="8"/>
  <c r="Q32" i="8"/>
  <c r="J61" i="8"/>
  <c r="K20" i="8"/>
  <c r="J66" i="8"/>
  <c r="T22" i="8"/>
  <c r="T20" i="8"/>
  <c r="P59" i="8"/>
  <c r="P34" i="8"/>
  <c r="N65" i="8"/>
  <c r="Q22" i="8"/>
  <c r="K66" i="8"/>
  <c r="M18" i="8"/>
  <c r="J24" i="8"/>
  <c r="M32" i="8"/>
  <c r="N66" i="8"/>
  <c r="T67" i="8"/>
  <c r="N20" i="8"/>
  <c r="P24" i="8"/>
  <c r="P62" i="8"/>
  <c r="J56" i="8"/>
  <c r="M22" i="8"/>
  <c r="M15" i="8"/>
  <c r="K15" i="8"/>
  <c r="J57" i="8"/>
  <c r="P15" i="8"/>
  <c r="N24" i="8"/>
  <c r="K38" i="8"/>
  <c r="M65" i="8"/>
  <c r="J18" i="8"/>
  <c r="J22" i="8"/>
  <c r="J59" i="8"/>
  <c r="T31" i="8"/>
  <c r="Q24" i="8"/>
  <c r="P37" i="8"/>
  <c r="P28" i="8"/>
  <c r="P32" i="8"/>
  <c r="J34" i="8"/>
  <c r="T30" i="8"/>
  <c r="S58" i="8"/>
  <c r="N31" i="8"/>
  <c r="N33" i="8"/>
  <c r="M29" i="8"/>
  <c r="M20" i="8"/>
  <c r="T37" i="8"/>
  <c r="S37" i="8"/>
  <c r="N23" i="8"/>
  <c r="J20" i="8"/>
  <c r="S15" i="8"/>
  <c r="M17" i="8"/>
  <c r="S59" i="8"/>
  <c r="P17" i="8"/>
  <c r="T18" i="8"/>
  <c r="P61" i="8"/>
  <c r="K32" i="8"/>
  <c r="P66" i="8"/>
  <c r="S64" i="8"/>
  <c r="K21" i="8"/>
  <c r="S55" i="8"/>
  <c r="K31" i="8"/>
  <c r="M59" i="8"/>
  <c r="P25" i="8"/>
  <c r="J38" i="8"/>
  <c r="M37" i="8"/>
  <c r="P58" i="8"/>
  <c r="N27" i="8"/>
  <c r="J37" i="8"/>
  <c r="J33" i="8"/>
  <c r="N25" i="8"/>
  <c r="M13" i="8"/>
  <c r="Q15" i="8"/>
  <c r="P38" i="8"/>
  <c r="T65" i="8"/>
  <c r="N64" i="8"/>
  <c r="Q37" i="8"/>
  <c r="P55" i="8"/>
  <c r="M24" i="8"/>
  <c r="K25" i="8"/>
  <c r="M21" i="8"/>
  <c r="M27" i="8"/>
  <c r="Q67" i="8"/>
  <c r="P23" i="8"/>
  <c r="K37" i="8"/>
  <c r="S62" i="8"/>
  <c r="J31" i="8"/>
  <c r="J15" i="8"/>
  <c r="M64" i="8"/>
  <c r="M36" i="8"/>
  <c r="S22" i="8"/>
  <c r="S21" i="8"/>
  <c r="S30" i="8"/>
  <c r="M28" i="8"/>
  <c r="M25" i="8"/>
  <c r="N38" i="8"/>
  <c r="T15" i="8"/>
  <c r="N28" i="8"/>
  <c r="N32" i="8"/>
  <c r="K64" i="8"/>
  <c r="Q25" i="8"/>
  <c r="K13" i="8"/>
  <c r="S36" i="8"/>
  <c r="S29" i="8"/>
  <c r="P21" i="8"/>
  <c r="N29" i="8"/>
  <c r="N22" i="8"/>
  <c r="M38" i="8"/>
  <c r="Q66" i="8"/>
  <c r="M56" i="8"/>
  <c r="T17" i="8"/>
  <c r="K18" i="8"/>
  <c r="J21" i="8"/>
  <c r="J25" i="8"/>
  <c r="T21" i="8"/>
  <c r="J32" i="8"/>
  <c r="P65" i="8"/>
  <c r="P64" i="8"/>
  <c r="S38" i="8"/>
  <c r="N30" i="8"/>
  <c r="M33" i="8"/>
  <c r="M57" i="8"/>
  <c r="S20" i="8"/>
  <c r="J55" i="8"/>
  <c r="P30" i="8"/>
  <c r="J36" i="8"/>
  <c r="Q17" i="8"/>
  <c r="Q20" i="8"/>
  <c r="Q28" i="8"/>
  <c r="N17" i="8"/>
  <c r="J13" i="8"/>
  <c r="K24" i="8"/>
  <c r="T66" i="8"/>
  <c r="Q65" i="8"/>
  <c r="N18" i="8"/>
  <c r="M55" i="8"/>
  <c r="T38" i="8"/>
  <c r="M23" i="8"/>
  <c r="J23" i="8"/>
  <c r="Q38" i="8"/>
  <c r="T27" i="8"/>
  <c r="S24" i="8"/>
  <c r="N37" i="8"/>
  <c r="Q30" i="8"/>
  <c r="J58" i="8"/>
  <c r="S66" i="8"/>
  <c r="J28" i="8"/>
  <c r="M66" i="8"/>
  <c r="P20" i="8"/>
  <c r="K34" i="8"/>
  <c r="M31" i="8"/>
  <c r="J62" i="8"/>
  <c r="S56" i="8"/>
  <c r="P36" i="8"/>
  <c r="S61" i="8"/>
  <c r="M8" i="8" l="1"/>
  <c r="J14" i="8"/>
  <c r="J16" i="8"/>
  <c r="Q14" i="8"/>
  <c r="P16" i="8"/>
  <c r="S63" i="8"/>
  <c r="N14" i="8"/>
  <c r="M63" i="8"/>
  <c r="T14" i="8"/>
  <c r="K16" i="8"/>
  <c r="P14" i="8"/>
  <c r="M14" i="8"/>
  <c r="K26" i="8"/>
  <c r="S8" i="8"/>
  <c r="Q16" i="8"/>
  <c r="J8" i="8"/>
  <c r="J63" i="8"/>
  <c r="T16" i="8"/>
  <c r="N26" i="8"/>
  <c r="T26" i="8"/>
  <c r="P63" i="8"/>
  <c r="M54" i="8"/>
  <c r="T19" i="8"/>
  <c r="T63" i="8"/>
  <c r="T71" i="8" s="1"/>
  <c r="R78" i="8" s="1"/>
  <c r="U19" i="8"/>
  <c r="U43" i="8"/>
  <c r="R71" i="8"/>
  <c r="U8" i="8"/>
  <c r="U16" i="8"/>
  <c r="U26" i="8"/>
  <c r="O71" i="8"/>
  <c r="O48" i="8"/>
  <c r="R48" i="8"/>
  <c r="U14" i="8"/>
  <c r="U63" i="8"/>
  <c r="L48" i="8"/>
  <c r="U60" i="8"/>
  <c r="Q26" i="8"/>
  <c r="J60" i="8"/>
  <c r="P54" i="8"/>
  <c r="K63" i="8"/>
  <c r="K71" i="8" s="1"/>
  <c r="I78" i="8" s="1"/>
  <c r="S60" i="8"/>
  <c r="K14" i="8"/>
  <c r="N19" i="8"/>
  <c r="M16" i="8"/>
  <c r="K8" i="8"/>
  <c r="M60" i="8"/>
  <c r="S26" i="8"/>
  <c r="K19" i="8"/>
  <c r="S19" i="8"/>
  <c r="N16" i="8"/>
  <c r="N63" i="8"/>
  <c r="N71" i="8" s="1"/>
  <c r="L78" i="8" s="1"/>
  <c r="J19" i="8"/>
  <c r="S14" i="8"/>
  <c r="M26" i="8"/>
  <c r="P19" i="8"/>
  <c r="Q19" i="8"/>
  <c r="P26" i="8"/>
  <c r="J26" i="8"/>
  <c r="S54" i="8"/>
  <c r="P60" i="8"/>
  <c r="M19" i="8"/>
  <c r="Q63" i="8"/>
  <c r="Q71" i="8" s="1"/>
  <c r="O78" i="8" s="1"/>
  <c r="J54" i="8"/>
  <c r="I48" i="8"/>
  <c r="L71" i="8"/>
  <c r="U54" i="8"/>
  <c r="I71" i="8"/>
  <c r="M71" i="8"/>
  <c r="J71" i="8" l="1"/>
  <c r="U71" i="8"/>
  <c r="T48" i="8"/>
  <c r="R77" i="8" s="1"/>
  <c r="S48" i="8"/>
  <c r="U78" i="8"/>
  <c r="U48" i="8"/>
  <c r="M48" i="8"/>
  <c r="K48" i="8"/>
  <c r="I77" i="8" s="1"/>
  <c r="J48" i="8"/>
  <c r="I76" i="8" s="1"/>
  <c r="R73" i="8"/>
  <c r="I73" i="8"/>
  <c r="O73" i="8"/>
  <c r="N48" i="8"/>
  <c r="L77" i="8" s="1"/>
  <c r="Q48" i="8"/>
  <c r="O77" i="8" s="1"/>
  <c r="S71" i="8"/>
  <c r="P48" i="8"/>
  <c r="P71" i="8"/>
  <c r="L76" i="8" l="1"/>
  <c r="O76" i="8" s="1"/>
  <c r="R76" i="8" s="1"/>
  <c r="U76" i="8" s="1"/>
  <c r="U77" i="8"/>
  <c r="L73" i="8"/>
  <c r="U6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2" authorId="0" shapeId="0" xr:uid="{FF08D45A-9608-4AC7-9D37-122628784C88}">
      <text>
        <r>
          <rPr>
            <sz val="9"/>
            <color indexed="81"/>
            <rFont val="Arial"/>
            <family val="2"/>
          </rPr>
          <t xml:space="preserve"> 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b/>
            <sz val="9"/>
            <color indexed="53"/>
            <rFont val="Arial"/>
            <family val="2"/>
          </rPr>
          <t>M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sz val="9"/>
            <color indexed="81"/>
            <rFont val="Arial"/>
            <family val="2"/>
          </rPr>
          <t xml:space="preserve">     </t>
        </r>
        <r>
          <rPr>
            <i/>
            <sz val="9"/>
            <color indexed="81"/>
            <rFont val="Arial"/>
            <family val="2"/>
          </rPr>
          <t xml:space="preserve"> Mensual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sz val="9"/>
            <color indexed="53"/>
            <rFont val="Arial"/>
            <family val="2"/>
          </rPr>
          <t xml:space="preserve">  </t>
        </r>
        <r>
          <rPr>
            <b/>
            <sz val="9"/>
            <color indexed="53"/>
            <rFont val="Arial"/>
            <family val="2"/>
          </rPr>
          <t xml:space="preserve">T 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4T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 xml:space="preserve"> 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1/3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1er i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2/4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2on i 4rt Trimestre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18" authorId="0" shapeId="0" xr:uid="{0FC89C92-5B76-49B7-8009-6B8D3B818CD8}">
      <text>
        <r>
          <rPr>
            <b/>
            <sz val="10"/>
            <color indexed="12"/>
            <rFont val="Arial"/>
            <family val="2"/>
          </rPr>
          <t>PERIODICITATS</t>
        </r>
        <r>
          <rPr>
            <sz val="9"/>
            <color indexed="12"/>
            <rFont val="Arial"/>
            <family val="2"/>
          </rPr>
          <t xml:space="preserve">
Imports acumulats en Trimestres en funció de la liquidació d'impostos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 M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Mensual</t>
        </r>
        <r>
          <rPr>
            <sz val="9"/>
            <color indexed="81"/>
            <rFont val="Arial"/>
            <family val="2"/>
          </rPr>
          <t xml:space="preserve">
  </t>
        </r>
        <r>
          <rPr>
            <b/>
            <sz val="9"/>
            <color indexed="53"/>
            <rFont val="Arial"/>
            <family val="2"/>
          </rPr>
          <t>T</t>
        </r>
        <r>
          <rPr>
            <sz val="9"/>
            <color indexed="81"/>
            <rFont val="Arial"/>
            <family val="2"/>
          </rPr>
          <t xml:space="preserve">  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4T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1/3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Semestral, 1er i 3er Semestre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2/4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 xml:space="preserve">Semestral, 2on i 4rt Semestre
</t>
        </r>
      </text>
    </comment>
  </commentList>
</comments>
</file>

<file path=xl/sharedStrings.xml><?xml version="1.0" encoding="utf-8"?>
<sst xmlns="http://schemas.openxmlformats.org/spreadsheetml/2006/main" count="250" uniqueCount="124">
  <si>
    <t>DESPESES</t>
  </si>
  <si>
    <t>Despeses de pesonal</t>
  </si>
  <si>
    <t>Serveis exteriors</t>
  </si>
  <si>
    <t xml:space="preserve">   Arrendaments</t>
  </si>
  <si>
    <t xml:space="preserve">   Reparació i conservació</t>
  </si>
  <si>
    <t xml:space="preserve">   Transports </t>
  </si>
  <si>
    <t xml:space="preserve">   Primes d'assegurances</t>
  </si>
  <si>
    <t>IVA</t>
  </si>
  <si>
    <t>IRPF</t>
  </si>
  <si>
    <t>Despeses ordinaries</t>
  </si>
  <si>
    <t>Tributs / Taxes / Cànons</t>
  </si>
  <si>
    <t xml:space="preserve">   Manteniments</t>
  </si>
  <si>
    <t xml:space="preserve">   Despeses de viatge</t>
  </si>
  <si>
    <t xml:space="preserve">   Sous i salaris                                   </t>
  </si>
  <si>
    <t xml:space="preserve">   Formació                                          </t>
  </si>
  <si>
    <t xml:space="preserve">   Serveis professionals independents</t>
  </si>
  <si>
    <t xml:space="preserve">   Serveis bancaris, TPV i similars </t>
  </si>
  <si>
    <t xml:space="preserve">   Quotes, Subscripcions i documentació</t>
  </si>
  <si>
    <t xml:space="preserve">   Material oficina i fungible</t>
  </si>
  <si>
    <t xml:space="preserve">   Correus i misatgeria</t>
  </si>
  <si>
    <t>% IVA</t>
  </si>
  <si>
    <t>% IRPF</t>
  </si>
  <si>
    <t xml:space="preserve">   Aigua</t>
  </si>
  <si>
    <t xml:space="preserve">   Gas</t>
  </si>
  <si>
    <t xml:space="preserve">   Electricitat</t>
  </si>
  <si>
    <t xml:space="preserve">   Carburants i combustibles</t>
  </si>
  <si>
    <t xml:space="preserve">   Telèfon</t>
  </si>
  <si>
    <t xml:space="preserve">   Transmissió de dades</t>
  </si>
  <si>
    <t>Subministraments</t>
  </si>
  <si>
    <t>Total</t>
  </si>
  <si>
    <t>INGRESSOS</t>
  </si>
  <si>
    <t>Import</t>
  </si>
  <si>
    <t>Trimestral</t>
  </si>
  <si>
    <t xml:space="preserve">   Tributs / Taxes / Cànons</t>
  </si>
  <si>
    <t>Mensual</t>
  </si>
  <si>
    <t>Puntual</t>
  </si>
  <si>
    <t>Periòdic</t>
  </si>
  <si>
    <t>1T</t>
  </si>
  <si>
    <t>2T</t>
  </si>
  <si>
    <t>3T</t>
  </si>
  <si>
    <t>4T</t>
  </si>
  <si>
    <t>T</t>
  </si>
  <si>
    <t>Periòde</t>
  </si>
  <si>
    <t>M</t>
  </si>
  <si>
    <t>Perio dicitat</t>
  </si>
  <si>
    <t>iva</t>
  </si>
  <si>
    <t>irpf</t>
  </si>
  <si>
    <t>Trimestre</t>
  </si>
  <si>
    <t>A 1T</t>
  </si>
  <si>
    <t>A 2T</t>
  </si>
  <si>
    <t>A 3T</t>
  </si>
  <si>
    <t>A 4T</t>
  </si>
  <si>
    <t>S 1/3</t>
  </si>
  <si>
    <t>S 2/4</t>
  </si>
  <si>
    <t>Anual, 1er Trimestre</t>
  </si>
  <si>
    <t>Anual, 2n Trimestre</t>
  </si>
  <si>
    <t>Anual, 3er Trimestre</t>
  </si>
  <si>
    <t>Semestral, 1er i 3er Trimestre</t>
  </si>
  <si>
    <t>Anual, 4rt Trimestre</t>
  </si>
  <si>
    <t>Semestral, 2n i 4rt Trimestre</t>
  </si>
  <si>
    <t xml:space="preserve">   Contractacions temporals / Freelance</t>
  </si>
  <si>
    <t xml:space="preserve">        IRPF Sous i Salaris</t>
  </si>
  <si>
    <t>SEG.SOCIAL</t>
  </si>
  <si>
    <t>1er TRIM</t>
  </si>
  <si>
    <t>2on TRIM</t>
  </si>
  <si>
    <t>3er TRIM</t>
  </si>
  <si>
    <t>4rt TRIM</t>
  </si>
  <si>
    <t>MENSUAL</t>
  </si>
  <si>
    <t>Acumulat
Any</t>
  </si>
  <si>
    <t xml:space="preserve">     TRESORERIA NETA TRIMESTRAL</t>
  </si>
  <si>
    <t>PERIODICITATS
Imports acumulats en Trimestres en funció de la liquidació d'impostos</t>
  </si>
  <si>
    <t>PLA ANUAL TRESORERIA (PREVISIONAL)</t>
  </si>
  <si>
    <t xml:space="preserve">   Producte 1</t>
  </si>
  <si>
    <t xml:space="preserve">   Producte 2</t>
  </si>
  <si>
    <t xml:space="preserve">   Producte 3</t>
  </si>
  <si>
    <t xml:space="preserve">   </t>
  </si>
  <si>
    <t xml:space="preserve">   Producte 4</t>
  </si>
  <si>
    <t xml:space="preserve">   Producte 5</t>
  </si>
  <si>
    <t xml:space="preserve">     LIQUIDACIONS TRIBUTS</t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</si>
  <si>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reting i liquido)</t>
    </r>
  </si>
  <si>
    <r>
      <t>IRPF</t>
    </r>
    <r>
      <rPr>
        <sz val="10"/>
        <color theme="8" tint="-0.249977111117893"/>
        <rFont val="Ebrima"/>
      </rPr>
      <t xml:space="preserve"> INGRESSOS</t>
    </r>
    <r>
      <rPr>
        <b/>
        <sz val="10"/>
        <color theme="8" tint="-0.249977111117893"/>
        <rFont val="Ebrima"/>
      </rPr>
      <t xml:space="preserve"> </t>
    </r>
    <r>
      <rPr>
        <i/>
        <sz val="10"/>
        <color theme="8" tint="-0.249977111117893"/>
        <rFont val="Ebrima"/>
      </rPr>
      <t>(Em retenen)</t>
    </r>
  </si>
  <si>
    <t>Acumulat</t>
  </si>
  <si>
    <t xml:space="preserve">   No Subjectes a IRPF </t>
  </si>
  <si>
    <t xml:space="preserve">   Subjectes a IRPF </t>
  </si>
  <si>
    <t>Altres despeses</t>
  </si>
  <si>
    <t>Despeses per endeutament</t>
  </si>
  <si>
    <t xml:space="preserve">   Renting</t>
  </si>
  <si>
    <t xml:space="preserve">   Leasing</t>
  </si>
  <si>
    <t xml:space="preserve">        Seg. Social</t>
  </si>
  <si>
    <t xml:space="preserve">        Autònoms</t>
  </si>
  <si>
    <t>Per venda de productes</t>
  </si>
  <si>
    <t>Per abonaments</t>
  </si>
  <si>
    <t>Per prestacions de serveis</t>
  </si>
  <si>
    <t>Per lloguers</t>
  </si>
  <si>
    <t xml:space="preserve">   Publicitat, propaganda i xarxes socials</t>
  </si>
  <si>
    <t xml:space="preserve">   Aprovisionaments / Mats. Primes / Articles</t>
  </si>
  <si>
    <t xml:space="preserve">   Interesos deutes (Préstecs / Crèdits)</t>
  </si>
  <si>
    <t xml:space="preserve">   Amortització capital (Préstecs)</t>
  </si>
  <si>
    <t>CONCEPTES
Imports / Factures (IVA i IRPF inclosos)</t>
  </si>
  <si>
    <t>%IVA</t>
  </si>
  <si>
    <t>%IRPF</t>
  </si>
  <si>
    <t xml:space="preserve"> S 1/3</t>
  </si>
  <si>
    <t>PERIODICITATS</t>
  </si>
  <si>
    <t>INGRESSOS PER ACTIVITAT ORDINÀRIA</t>
  </si>
  <si>
    <t>TRESORERIA INICAL I INGRESSOS ATÍPICS</t>
  </si>
  <si>
    <t xml:space="preserve"> Per aportacions de fons</t>
  </si>
  <si>
    <t xml:space="preserve"> Per obtenció de préstecs</t>
  </si>
  <si>
    <t xml:space="preserve"> Per venda de productes</t>
  </si>
  <si>
    <t xml:space="preserve"> Per abonaments</t>
  </si>
  <si>
    <t xml:space="preserve"> Per prestacions de serveis</t>
  </si>
  <si>
    <t xml:space="preserve"> Per lloguers</t>
  </si>
  <si>
    <t xml:space="preserve">   1a aportació</t>
  </si>
  <si>
    <t xml:space="preserve">   2a aportació</t>
  </si>
  <si>
    <t xml:space="preserve">   No subjectes a IRPF </t>
  </si>
  <si>
    <t xml:space="preserve">   Préstec 2</t>
  </si>
  <si>
    <t xml:space="preserve">   Interesos deutes (Préstecs i Crèdits bancaris)</t>
  </si>
  <si>
    <t xml:space="preserve">   Interesos de préstecs de particulars</t>
  </si>
  <si>
    <t xml:space="preserve">   Préstec 1</t>
  </si>
  <si>
    <r>
      <rPr>
        <b/>
        <sz val="12"/>
        <color rgb="FFFF0000"/>
        <rFont val="Wingdings 3"/>
        <family val="1"/>
        <charset val="2"/>
      </rPr>
      <t>p</t>
    </r>
    <r>
      <rPr>
        <b/>
        <sz val="10"/>
        <color rgb="FFFF0000"/>
        <rFont val="Ebrima"/>
      </rPr>
      <t xml:space="preserve"> </t>
    </r>
    <r>
      <rPr>
        <b/>
        <i/>
        <sz val="10"/>
        <color theme="8" tint="-0.499984740745262"/>
        <rFont val="Ebrima"/>
      </rPr>
      <t>Imports acumulats en trimestres, en funció de la liquidació d'impostos</t>
    </r>
  </si>
  <si>
    <t xml:space="preserve">   Interesos deutes (Préstecs de Particulars)</t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</si>
  <si>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retinc i liquido)</t>
    </r>
  </si>
  <si>
    <t xml:space="preserve">        Autònoms (no administradors)</t>
  </si>
  <si>
    <r>
      <t xml:space="preserve">PLA PREVISIONAL DE TRESORERIA </t>
    </r>
    <r>
      <rPr>
        <b/>
        <i/>
        <sz val="18"/>
        <color theme="0"/>
        <rFont val="Calibri"/>
        <family val="2"/>
        <scheme val="minor"/>
      </rPr>
      <t>(per un any)</t>
    </r>
  </si>
  <si>
    <t>Primer seleccionar REGIM D'IVA: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</si>
</sst>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000;\(###,000\);\-\ ;"/>
    <numFmt numFmtId="165" formatCode="#,##0;[Red]\(#,##0\)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0"/>
      <color theme="1"/>
      <name val="Ebrima"/>
    </font>
    <font>
      <b/>
      <sz val="10"/>
      <color theme="1"/>
      <name val="Ebrima"/>
    </font>
    <font>
      <b/>
      <sz val="10"/>
      <color theme="4" tint="-0.499984740745262"/>
      <name val="Ebrima"/>
    </font>
    <font>
      <i/>
      <sz val="10"/>
      <color theme="1"/>
      <name val="Ebrima"/>
    </font>
    <font>
      <b/>
      <sz val="10"/>
      <color rgb="FFFF0000"/>
      <name val="Ebrima"/>
    </font>
    <font>
      <b/>
      <i/>
      <sz val="10"/>
      <color theme="1"/>
      <name val="Ebrima"/>
    </font>
    <font>
      <b/>
      <sz val="18"/>
      <color theme="1"/>
      <name val="Ebrima"/>
    </font>
    <font>
      <b/>
      <sz val="10"/>
      <color theme="8" tint="-0.249977111117893"/>
      <name val="Ebrima"/>
    </font>
    <font>
      <b/>
      <i/>
      <sz val="10"/>
      <color theme="8" tint="-0.249977111117893"/>
      <name val="Ebrima"/>
    </font>
    <font>
      <sz val="10"/>
      <color rgb="FF000066"/>
      <name val="Ebrima"/>
    </font>
    <font>
      <b/>
      <sz val="10"/>
      <color rgb="FF000066"/>
      <name val="Ebrima"/>
    </font>
    <font>
      <b/>
      <i/>
      <sz val="10"/>
      <color rgb="FF000066"/>
      <name val="Ebrima"/>
    </font>
    <font>
      <i/>
      <sz val="10"/>
      <color rgb="FF000066"/>
      <name val="Ebrima"/>
    </font>
    <font>
      <b/>
      <sz val="11"/>
      <color theme="1"/>
      <name val="Ebrima"/>
    </font>
    <font>
      <b/>
      <sz val="11"/>
      <color theme="8" tint="-0.249977111117893"/>
      <name val="Ebrima"/>
    </font>
    <font>
      <i/>
      <sz val="10"/>
      <color theme="8" tint="-0.249977111117893"/>
      <name val="Ebrima"/>
    </font>
    <font>
      <sz val="10"/>
      <color theme="8" tint="-0.249977111117893"/>
      <name val="Ebrima"/>
    </font>
    <font>
      <b/>
      <sz val="8"/>
      <color rgb="FF000066"/>
      <name val="Ebrima"/>
    </font>
    <font>
      <b/>
      <sz val="9"/>
      <color rgb="FF000066"/>
      <name val="Ebrima"/>
    </font>
    <font>
      <sz val="9"/>
      <color indexed="12"/>
      <name val="Arial"/>
      <family val="2"/>
    </font>
    <font>
      <sz val="9"/>
      <color indexed="81"/>
      <name val="Arial"/>
      <family val="2"/>
    </font>
    <font>
      <b/>
      <sz val="10"/>
      <color indexed="12"/>
      <name val="Arial"/>
      <family val="2"/>
    </font>
    <font>
      <b/>
      <sz val="9"/>
      <color indexed="53"/>
      <name val="Arial"/>
      <family val="2"/>
    </font>
    <font>
      <i/>
      <sz val="9"/>
      <color indexed="81"/>
      <name val="Arial"/>
      <family val="2"/>
    </font>
    <font>
      <b/>
      <i/>
      <sz val="9"/>
      <color theme="1"/>
      <name val="Ebrima"/>
    </font>
    <font>
      <sz val="10"/>
      <color theme="4" tint="-0.499984740745262"/>
      <name val="Ebrima"/>
    </font>
    <font>
      <sz val="10"/>
      <color rgb="FFFF0000"/>
      <name val="Ebrima"/>
    </font>
    <font>
      <sz val="9"/>
      <color indexed="81"/>
      <name val="Tahoma"/>
      <family val="2"/>
    </font>
    <font>
      <sz val="9"/>
      <color indexed="53"/>
      <name val="Arial"/>
      <family val="2"/>
    </font>
    <font>
      <sz val="10"/>
      <color theme="5"/>
      <name val="Ebrima"/>
    </font>
    <font>
      <sz val="10"/>
      <color theme="4"/>
      <name val="Ebrima"/>
    </font>
    <font>
      <b/>
      <i/>
      <sz val="10"/>
      <color theme="8" tint="-0.499984740745262"/>
      <name val="Ebrima"/>
    </font>
    <font>
      <sz val="11"/>
      <color theme="1"/>
      <name val="Wingdings 3"/>
      <family val="1"/>
      <charset val="2"/>
    </font>
    <font>
      <b/>
      <i/>
      <sz val="10"/>
      <color theme="8" tint="-0.499984740745262"/>
      <name val="Ebrima"/>
      <family val="1"/>
      <charset val="2"/>
    </font>
    <font>
      <b/>
      <sz val="12"/>
      <color rgb="FFFF0000"/>
      <name val="Wingdings 3"/>
      <family val="1"/>
      <charset val="2"/>
    </font>
    <font>
      <b/>
      <i/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5"/>
        <bgColor theme="0"/>
      </patternFill>
    </fill>
    <fill>
      <patternFill patternType="solid">
        <fgColor rgb="FFFFC000"/>
        <bgColor theme="0"/>
      </patternFill>
    </fill>
    <fill>
      <patternFill patternType="solid">
        <fgColor theme="4" tint="0.59999389629810485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7" tint="0.59999389629810485"/>
        <bgColor theme="0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FF00"/>
        <bgColor theme="0"/>
      </patternFill>
    </fill>
  </fills>
  <borders count="1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2" borderId="0" xfId="0" applyFill="1" applyBorder="1" applyProtection="1">
      <protection locked="0"/>
    </xf>
    <xf numFmtId="0" fontId="0" fillId="2" borderId="0" xfId="0" applyFill="1" applyBorder="1" applyProtection="1"/>
    <xf numFmtId="0" fontId="7" fillId="6" borderId="0" xfId="0" applyFont="1" applyFill="1" applyBorder="1" applyAlignment="1">
      <alignment horizontal="center"/>
    </xf>
    <xf numFmtId="0" fontId="8" fillId="2" borderId="0" xfId="0" applyFont="1" applyFill="1" applyBorder="1"/>
    <xf numFmtId="0" fontId="2" fillId="2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Protection="1">
      <protection locked="0"/>
    </xf>
    <xf numFmtId="0" fontId="6" fillId="5" borderId="0" xfId="0" applyFont="1" applyFill="1" applyBorder="1" applyAlignment="1" applyProtection="1">
      <alignment vertical="center"/>
    </xf>
    <xf numFmtId="4" fontId="15" fillId="2" borderId="1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center"/>
    </xf>
    <xf numFmtId="0" fontId="12" fillId="8" borderId="0" xfId="0" applyFont="1" applyFill="1" applyBorder="1" applyAlignment="1" applyProtection="1">
      <alignment horizontal="right" vertical="center"/>
    </xf>
    <xf numFmtId="0" fontId="15" fillId="6" borderId="4" xfId="0" applyFont="1" applyFill="1" applyBorder="1" applyAlignment="1" applyProtection="1">
      <alignment vertical="center"/>
    </xf>
    <xf numFmtId="3" fontId="14" fillId="9" borderId="2" xfId="0" applyNumberFormat="1" applyFont="1" applyFill="1" applyBorder="1" applyProtection="1"/>
    <xf numFmtId="3" fontId="17" fillId="9" borderId="2" xfId="0" applyNumberFormat="1" applyFont="1" applyFill="1" applyBorder="1" applyProtection="1"/>
    <xf numFmtId="3" fontId="14" fillId="9" borderId="4" xfId="0" applyNumberFormat="1" applyFont="1" applyFill="1" applyBorder="1" applyProtection="1"/>
    <xf numFmtId="0" fontId="7" fillId="5" borderId="0" xfId="0" applyFont="1" applyFill="1" applyBorder="1" applyAlignment="1" applyProtection="1">
      <alignment horizontal="center" vertical="center"/>
      <protection locked="0"/>
    </xf>
    <xf numFmtId="3" fontId="9" fillId="5" borderId="0" xfId="0" applyNumberFormat="1" applyFont="1" applyFill="1" applyBorder="1" applyAlignment="1" applyProtection="1">
      <alignment horizontal="center" vertical="center"/>
      <protection locked="0"/>
    </xf>
    <xf numFmtId="3" fontId="5" fillId="5" borderId="0" xfId="0" applyNumberFormat="1" applyFont="1" applyFill="1" applyBorder="1" applyProtection="1"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vertical="center"/>
    </xf>
    <xf numFmtId="4" fontId="14" fillId="9" borderId="3" xfId="0" applyNumberFormat="1" applyFont="1" applyFill="1" applyBorder="1" applyAlignment="1" applyProtection="1">
      <alignment vertical="center"/>
    </xf>
    <xf numFmtId="0" fontId="14" fillId="9" borderId="3" xfId="0" applyFont="1" applyFill="1" applyBorder="1" applyAlignment="1" applyProtection="1">
      <alignment vertical="center"/>
    </xf>
    <xf numFmtId="0" fontId="14" fillId="9" borderId="4" xfId="0" applyFont="1" applyFill="1" applyBorder="1" applyAlignment="1" applyProtection="1">
      <alignment vertical="center"/>
    </xf>
    <xf numFmtId="3" fontId="5" fillId="5" borderId="2" xfId="0" applyNumberFormat="1" applyFont="1" applyFill="1" applyBorder="1" applyProtection="1">
      <protection locked="0"/>
    </xf>
    <xf numFmtId="0" fontId="7" fillId="5" borderId="2" xfId="0" applyFont="1" applyFill="1" applyBorder="1" applyAlignment="1" applyProtection="1">
      <alignment horizontal="center" vertical="center"/>
      <protection locked="0"/>
    </xf>
    <xf numFmtId="0" fontId="9" fillId="5" borderId="2" xfId="0" applyFont="1" applyFill="1" applyBorder="1" applyAlignment="1" applyProtection="1">
      <alignment horizontal="center" vertical="center"/>
      <protection locked="0"/>
    </xf>
    <xf numFmtId="3" fontId="9" fillId="5" borderId="2" xfId="0" applyNumberFormat="1" applyFont="1" applyFill="1" applyBorder="1" applyAlignment="1" applyProtection="1">
      <alignment horizontal="center" vertical="center"/>
      <protection locked="0"/>
    </xf>
    <xf numFmtId="3" fontId="5" fillId="5" borderId="3" xfId="0" applyNumberFormat="1" applyFont="1" applyFill="1" applyBorder="1" applyProtection="1">
      <protection locked="0"/>
    </xf>
    <xf numFmtId="0" fontId="7" fillId="5" borderId="3" xfId="0" applyFont="1" applyFill="1" applyBorder="1" applyAlignment="1" applyProtection="1">
      <alignment horizontal="center" vertical="center"/>
      <protection locked="0"/>
    </xf>
    <xf numFmtId="0" fontId="9" fillId="5" borderId="3" xfId="0" applyFont="1" applyFill="1" applyBorder="1" applyAlignment="1" applyProtection="1">
      <alignment horizontal="center" vertical="center"/>
      <protection locked="0"/>
    </xf>
    <xf numFmtId="3" fontId="9" fillId="5" borderId="3" xfId="0" applyNumberFormat="1" applyFont="1" applyFill="1" applyBorder="1" applyAlignment="1" applyProtection="1">
      <alignment horizontal="center" vertical="center"/>
      <protection locked="0"/>
    </xf>
    <xf numFmtId="3" fontId="5" fillId="5" borderId="4" xfId="0" applyNumberFormat="1" applyFont="1" applyFill="1" applyBorder="1" applyProtection="1">
      <protection locked="0"/>
    </xf>
    <xf numFmtId="0" fontId="7" fillId="5" borderId="4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  <protection locked="0"/>
    </xf>
    <xf numFmtId="3" fontId="9" fillId="5" borderId="4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Protection="1">
      <protection locked="0"/>
    </xf>
    <xf numFmtId="3" fontId="15" fillId="6" borderId="0" xfId="0" applyNumberFormat="1" applyFont="1" applyFill="1" applyBorder="1" applyAlignment="1" applyProtection="1">
      <alignment vertical="center"/>
    </xf>
    <xf numFmtId="4" fontId="15" fillId="6" borderId="0" xfId="0" applyNumberFormat="1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vertical="center"/>
    </xf>
    <xf numFmtId="0" fontId="14" fillId="9" borderId="0" xfId="0" applyFont="1" applyFill="1" applyBorder="1" applyAlignment="1" applyProtection="1">
      <alignment vertical="center"/>
    </xf>
    <xf numFmtId="3" fontId="17" fillId="9" borderId="4" xfId="0" applyNumberFormat="1" applyFont="1" applyFill="1" applyBorder="1" applyProtection="1"/>
    <xf numFmtId="3" fontId="14" fillId="9" borderId="0" xfId="0" applyNumberFormat="1" applyFont="1" applyFill="1" applyBorder="1" applyProtection="1"/>
    <xf numFmtId="3" fontId="17" fillId="9" borderId="0" xfId="0" applyNumberFormat="1" applyFont="1" applyFill="1" applyBorder="1" applyProtection="1"/>
    <xf numFmtId="3" fontId="16" fillId="6" borderId="0" xfId="0" applyNumberFormat="1" applyFont="1" applyFill="1" applyBorder="1" applyAlignment="1" applyProtection="1">
      <alignment vertical="center"/>
    </xf>
    <xf numFmtId="3" fontId="14" fillId="9" borderId="5" xfId="0" applyNumberFormat="1" applyFont="1" applyFill="1" applyBorder="1" applyProtection="1"/>
    <xf numFmtId="3" fontId="14" fillId="5" borderId="2" xfId="0" applyNumberFormat="1" applyFont="1" applyFill="1" applyBorder="1" applyProtection="1"/>
    <xf numFmtId="3" fontId="14" fillId="5" borderId="3" xfId="0" applyNumberFormat="1" applyFont="1" applyFill="1" applyBorder="1" applyProtection="1"/>
    <xf numFmtId="3" fontId="14" fillId="5" borderId="4" xfId="0" applyNumberFormat="1" applyFont="1" applyFill="1" applyBorder="1" applyProtection="1"/>
    <xf numFmtId="1" fontId="15" fillId="5" borderId="0" xfId="0" applyNumberFormat="1" applyFont="1" applyFill="1" applyBorder="1" applyAlignment="1" applyProtection="1"/>
    <xf numFmtId="3" fontId="14" fillId="5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</xf>
    <xf numFmtId="0" fontId="14" fillId="5" borderId="4" xfId="0" applyFont="1" applyFill="1" applyBorder="1" applyAlignment="1" applyProtection="1">
      <alignment vertical="center"/>
    </xf>
    <xf numFmtId="0" fontId="14" fillId="5" borderId="6" xfId="0" applyFont="1" applyFill="1" applyBorder="1" applyAlignment="1" applyProtection="1">
      <alignment vertical="center"/>
    </xf>
    <xf numFmtId="3" fontId="5" fillId="5" borderId="5" xfId="0" applyNumberFormat="1" applyFont="1" applyFill="1" applyBorder="1" applyProtection="1">
      <protection locked="0"/>
    </xf>
    <xf numFmtId="0" fontId="7" fillId="5" borderId="5" xfId="0" applyFont="1" applyFill="1" applyBorder="1" applyAlignment="1" applyProtection="1">
      <alignment horizontal="center" vertical="center"/>
      <protection locked="0"/>
    </xf>
    <xf numFmtId="3" fontId="5" fillId="5" borderId="6" xfId="0" applyNumberFormat="1" applyFont="1" applyFill="1" applyBorder="1" applyProtection="1">
      <protection locked="0"/>
    </xf>
    <xf numFmtId="0" fontId="7" fillId="5" borderId="6" xfId="0" applyFont="1" applyFill="1" applyBorder="1" applyAlignment="1" applyProtection="1">
      <alignment horizontal="center" vertical="center"/>
      <protection locked="0"/>
    </xf>
    <xf numFmtId="0" fontId="9" fillId="5" borderId="6" xfId="0" applyFont="1" applyFill="1" applyBorder="1" applyAlignment="1" applyProtection="1">
      <alignment horizontal="center" vertical="center"/>
      <protection locked="0"/>
    </xf>
    <xf numFmtId="4" fontId="5" fillId="9" borderId="2" xfId="0" applyNumberFormat="1" applyFont="1" applyFill="1" applyBorder="1" applyAlignment="1" applyProtection="1"/>
    <xf numFmtId="4" fontId="5" fillId="9" borderId="3" xfId="0" applyNumberFormat="1" applyFont="1" applyFill="1" applyBorder="1" applyAlignment="1" applyProtection="1"/>
    <xf numFmtId="4" fontId="5" fillId="9" borderId="5" xfId="0" applyNumberFormat="1" applyFont="1" applyFill="1" applyBorder="1" applyAlignment="1" applyProtection="1">
      <alignment horizontal="center"/>
    </xf>
    <xf numFmtId="0" fontId="7" fillId="9" borderId="2" xfId="0" applyFont="1" applyFill="1" applyBorder="1" applyAlignment="1" applyProtection="1">
      <alignment horizontal="center" vertical="center"/>
    </xf>
    <xf numFmtId="0" fontId="7" fillId="9" borderId="3" xfId="0" applyFont="1" applyFill="1" applyBorder="1" applyAlignment="1" applyProtection="1">
      <alignment horizontal="center" vertical="center"/>
    </xf>
    <xf numFmtId="0" fontId="7" fillId="9" borderId="5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vertical="center" wrapText="1"/>
    </xf>
    <xf numFmtId="0" fontId="22" fillId="2" borderId="1" xfId="0" applyFont="1" applyFill="1" applyBorder="1" applyAlignment="1" applyProtection="1">
      <alignment vertical="center" wrapText="1"/>
    </xf>
    <xf numFmtId="3" fontId="14" fillId="9" borderId="3" xfId="0" applyNumberFormat="1" applyFont="1" applyFill="1" applyBorder="1" applyProtection="1"/>
    <xf numFmtId="4" fontId="15" fillId="2" borderId="0" xfId="0" applyNumberFormat="1" applyFont="1" applyFill="1" applyBorder="1" applyAlignment="1" applyProtection="1">
      <alignment horizontal="center" vertical="center"/>
    </xf>
    <xf numFmtId="4" fontId="15" fillId="2" borderId="9" xfId="0" applyNumberFormat="1" applyFont="1" applyFill="1" applyBorder="1" applyAlignment="1" applyProtection="1">
      <alignment horizontal="center" vertical="center"/>
    </xf>
    <xf numFmtId="0" fontId="15" fillId="2" borderId="0" xfId="0" applyFont="1" applyFill="1" applyBorder="1" applyAlignment="1" applyProtection="1">
      <alignment horizontal="center" vertical="center" wrapText="1"/>
    </xf>
    <xf numFmtId="0" fontId="15" fillId="2" borderId="9" xfId="0" applyFont="1" applyFill="1" applyBorder="1" applyAlignment="1" applyProtection="1">
      <alignment horizontal="center" vertical="center" wrapText="1"/>
    </xf>
    <xf numFmtId="0" fontId="15" fillId="2" borderId="11" xfId="0" applyFont="1" applyFill="1" applyBorder="1" applyAlignment="1" applyProtection="1">
      <alignment horizontal="center" vertical="center" wrapText="1"/>
    </xf>
    <xf numFmtId="3" fontId="15" fillId="7" borderId="0" xfId="0" applyNumberFormat="1" applyFont="1" applyFill="1" applyBorder="1" applyAlignment="1" applyProtection="1">
      <alignment horizontal="right" vertical="center"/>
    </xf>
    <xf numFmtId="3" fontId="12" fillId="9" borderId="2" xfId="0" applyNumberFormat="1" applyFont="1" applyFill="1" applyBorder="1" applyAlignment="1" applyProtection="1"/>
    <xf numFmtId="3" fontId="15" fillId="9" borderId="2" xfId="0" applyNumberFormat="1" applyFont="1" applyFill="1" applyBorder="1" applyAlignment="1" applyProtection="1"/>
    <xf numFmtId="3" fontId="15" fillId="5" borderId="0" xfId="0" applyNumberFormat="1" applyFont="1" applyFill="1" applyBorder="1" applyAlignment="1" applyProtection="1"/>
    <xf numFmtId="3" fontId="12" fillId="9" borderId="3" xfId="0" applyNumberFormat="1" applyFont="1" applyFill="1" applyBorder="1" applyAlignment="1" applyProtection="1"/>
    <xf numFmtId="3" fontId="15" fillId="9" borderId="3" xfId="0" applyNumberFormat="1" applyFont="1" applyFill="1" applyBorder="1" applyAlignment="1" applyProtection="1"/>
    <xf numFmtId="3" fontId="5" fillId="2" borderId="0" xfId="0" applyNumberFormat="1" applyFont="1" applyFill="1" applyBorder="1" applyProtection="1">
      <protection locked="0"/>
    </xf>
    <xf numFmtId="3" fontId="12" fillId="9" borderId="4" xfId="0" applyNumberFormat="1" applyFont="1" applyFill="1" applyBorder="1" applyAlignment="1" applyProtection="1"/>
    <xf numFmtId="3" fontId="15" fillId="9" borderId="4" xfId="0" applyNumberFormat="1" applyFont="1" applyFill="1" applyBorder="1" applyAlignment="1" applyProtection="1"/>
    <xf numFmtId="3" fontId="15" fillId="9" borderId="5" xfId="0" applyNumberFormat="1" applyFont="1" applyFill="1" applyBorder="1" applyProtection="1"/>
    <xf numFmtId="3" fontId="15" fillId="9" borderId="5" xfId="0" applyNumberFormat="1" applyFont="1" applyFill="1" applyBorder="1" applyAlignment="1" applyProtection="1"/>
    <xf numFmtId="3" fontId="5" fillId="9" borderId="2" xfId="0" applyNumberFormat="1" applyFont="1" applyFill="1" applyBorder="1" applyAlignment="1" applyProtection="1"/>
    <xf numFmtId="3" fontId="5" fillId="9" borderId="3" xfId="0" applyNumberFormat="1" applyFont="1" applyFill="1" applyBorder="1" applyAlignment="1" applyProtection="1"/>
    <xf numFmtId="3" fontId="5" fillId="9" borderId="5" xfId="0" applyNumberFormat="1" applyFont="1" applyFill="1" applyBorder="1" applyAlignment="1" applyProtection="1">
      <alignment horizontal="center"/>
    </xf>
    <xf numFmtId="164" fontId="15" fillId="9" borderId="2" xfId="0" applyNumberFormat="1" applyFont="1" applyFill="1" applyBorder="1" applyAlignment="1" applyProtection="1"/>
    <xf numFmtId="164" fontId="15" fillId="5" borderId="0" xfId="0" applyNumberFormat="1" applyFont="1" applyFill="1" applyBorder="1" applyAlignment="1" applyProtection="1"/>
    <xf numFmtId="164" fontId="6" fillId="5" borderId="0" xfId="0" applyNumberFormat="1" applyFont="1" applyFill="1" applyBorder="1" applyAlignment="1" applyProtection="1">
      <alignment horizontal="center" vertical="center"/>
      <protection locked="0"/>
    </xf>
    <xf numFmtId="164" fontId="16" fillId="9" borderId="2" xfId="0" applyNumberFormat="1" applyFont="1" applyFill="1" applyBorder="1" applyAlignment="1" applyProtection="1"/>
    <xf numFmtId="0" fontId="6" fillId="2" borderId="0" xfId="0" applyFont="1" applyFill="1" applyBorder="1" applyAlignment="1" applyProtection="1">
      <alignment horizontal="center" vertical="center"/>
    </xf>
    <xf numFmtId="164" fontId="6" fillId="5" borderId="0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  <protection locked="0"/>
    </xf>
    <xf numFmtId="0" fontId="14" fillId="5" borderId="6" xfId="0" applyFont="1" applyFill="1" applyBorder="1" applyAlignment="1" applyProtection="1">
      <alignment vertical="center"/>
      <protection locked="0"/>
    </xf>
    <xf numFmtId="0" fontId="14" fillId="5" borderId="4" xfId="0" applyFont="1" applyFill="1" applyBorder="1" applyAlignment="1" applyProtection="1">
      <alignment vertical="center"/>
      <protection locked="0"/>
    </xf>
    <xf numFmtId="4" fontId="15" fillId="7" borderId="4" xfId="0" applyNumberFormat="1" applyFont="1" applyFill="1" applyBorder="1" applyAlignment="1" applyProtection="1">
      <alignment horizontal="left" vertical="center"/>
    </xf>
    <xf numFmtId="0" fontId="15" fillId="7" borderId="0" xfId="0" applyFont="1" applyFill="1" applyBorder="1" applyAlignment="1" applyProtection="1">
      <alignment horizontal="center" vertical="center" wrapText="1"/>
    </xf>
    <xf numFmtId="4" fontId="16" fillId="7" borderId="0" xfId="0" applyNumberFormat="1" applyFont="1" applyFill="1" applyBorder="1" applyAlignment="1" applyProtection="1">
      <alignment horizontal="center" vertical="center"/>
    </xf>
    <xf numFmtId="4" fontId="15" fillId="6" borderId="0" xfId="0" applyNumberFormat="1" applyFont="1" applyFill="1" applyBorder="1" applyAlignment="1" applyProtection="1">
      <alignment horizontal="left" vertical="center"/>
    </xf>
    <xf numFmtId="0" fontId="15" fillId="6" borderId="0" xfId="0" applyFont="1" applyFill="1" applyBorder="1" applyAlignment="1" applyProtection="1">
      <alignment horizontal="center" vertical="center" wrapText="1"/>
    </xf>
    <xf numFmtId="3" fontId="17" fillId="5" borderId="4" xfId="0" applyNumberFormat="1" applyFont="1" applyFill="1" applyBorder="1" applyProtection="1"/>
    <xf numFmtId="0" fontId="15" fillId="9" borderId="2" xfId="0" applyFont="1" applyFill="1" applyBorder="1" applyAlignment="1" applyProtection="1">
      <alignment horizontal="center" vertical="center" wrapText="1"/>
    </xf>
    <xf numFmtId="0" fontId="15" fillId="9" borderId="4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/>
      <protection locked="0"/>
    </xf>
    <xf numFmtId="4" fontId="15" fillId="2" borderId="1" xfId="0" applyNumberFormat="1" applyFont="1" applyFill="1" applyBorder="1" applyAlignment="1" applyProtection="1">
      <alignment horizontal="center" vertical="center"/>
    </xf>
    <xf numFmtId="165" fontId="15" fillId="7" borderId="0" xfId="0" applyNumberFormat="1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3" fontId="5" fillId="5" borderId="4" xfId="0" applyNumberFormat="1" applyFont="1" applyFill="1" applyBorder="1" applyProtection="1"/>
    <xf numFmtId="0" fontId="30" fillId="5" borderId="4" xfId="0" applyFont="1" applyFill="1" applyBorder="1" applyAlignment="1" applyProtection="1">
      <alignment horizontal="center" vertical="center"/>
    </xf>
    <xf numFmtId="0" fontId="31" fillId="5" borderId="4" xfId="0" applyFont="1" applyFill="1" applyBorder="1" applyAlignment="1" applyProtection="1">
      <alignment horizontal="center" vertical="center"/>
    </xf>
    <xf numFmtId="0" fontId="29" fillId="4" borderId="0" xfId="0" applyFont="1" applyFill="1" applyBorder="1" applyAlignment="1" applyProtection="1">
      <alignment vertical="top"/>
    </xf>
    <xf numFmtId="0" fontId="15" fillId="2" borderId="7" xfId="0" applyFont="1" applyFill="1" applyBorder="1" applyAlignment="1" applyProtection="1">
      <alignment horizontal="center" vertical="center" wrapText="1"/>
    </xf>
    <xf numFmtId="0" fontId="23" fillId="2" borderId="12" xfId="0" applyFont="1" applyFill="1" applyBorder="1" applyAlignment="1" applyProtection="1">
      <alignment vertical="center" wrapText="1"/>
    </xf>
    <xf numFmtId="4" fontId="14" fillId="5" borderId="2" xfId="0" applyNumberFormat="1" applyFont="1" applyFill="1" applyBorder="1" applyAlignment="1" applyProtection="1">
      <alignment horizontal="left" vertical="center"/>
      <protection locked="0"/>
    </xf>
    <xf numFmtId="4" fontId="14" fillId="5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4" xfId="0" applyFont="1" applyFill="1" applyBorder="1" applyAlignment="1" applyProtection="1">
      <alignment horizontal="center" vertical="center"/>
      <protection locked="0"/>
    </xf>
    <xf numFmtId="0" fontId="34" fillId="5" borderId="2" xfId="0" applyFont="1" applyFill="1" applyBorder="1" applyAlignment="1" applyProtection="1">
      <alignment horizontal="center" vertical="center"/>
      <protection locked="0"/>
    </xf>
    <xf numFmtId="0" fontId="34" fillId="5" borderId="3" xfId="0" applyFont="1" applyFill="1" applyBorder="1" applyAlignment="1" applyProtection="1">
      <alignment horizontal="center" vertical="center"/>
      <protection locked="0"/>
    </xf>
    <xf numFmtId="0" fontId="34" fillId="5" borderId="0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Border="1" applyAlignment="1" applyProtection="1">
      <alignment horizontal="center" vertical="center"/>
      <protection locked="0"/>
    </xf>
    <xf numFmtId="0" fontId="35" fillId="5" borderId="2" xfId="0" applyFont="1" applyFill="1" applyBorder="1" applyAlignment="1" applyProtection="1">
      <alignment horizontal="center" vertical="center"/>
      <protection locked="0"/>
    </xf>
    <xf numFmtId="0" fontId="35" fillId="5" borderId="3" xfId="0" applyFont="1" applyFill="1" applyBorder="1" applyAlignment="1" applyProtection="1">
      <alignment horizontal="center" vertical="center"/>
      <protection locked="0"/>
    </xf>
    <xf numFmtId="0" fontId="35" fillId="5" borderId="4" xfId="0" applyFont="1" applyFill="1" applyBorder="1" applyAlignment="1" applyProtection="1">
      <alignment horizontal="center" vertical="center"/>
      <protection locked="0"/>
    </xf>
    <xf numFmtId="0" fontId="35" fillId="5" borderId="5" xfId="0" applyFont="1" applyFill="1" applyBorder="1" applyAlignment="1" applyProtection="1">
      <alignment horizontal="center" vertical="center"/>
      <protection locked="0"/>
    </xf>
    <xf numFmtId="0" fontId="35" fillId="5" borderId="6" xfId="0" applyFont="1" applyFill="1" applyBorder="1" applyAlignment="1" applyProtection="1">
      <alignment horizontal="center" vertical="center"/>
      <protection locked="0"/>
    </xf>
    <xf numFmtId="0" fontId="34" fillId="5" borderId="5" xfId="0" applyFont="1" applyFill="1" applyBorder="1" applyAlignment="1" applyProtection="1">
      <alignment horizontal="center" vertical="center"/>
      <protection locked="0"/>
    </xf>
    <xf numFmtId="0" fontId="12" fillId="8" borderId="0" xfId="0" applyFont="1" applyFill="1" applyBorder="1" applyAlignment="1" applyProtection="1">
      <alignment horizontal="right" vertical="center"/>
    </xf>
    <xf numFmtId="0" fontId="37" fillId="2" borderId="0" xfId="0" applyFont="1" applyFill="1" applyBorder="1" applyProtection="1">
      <protection locked="0"/>
    </xf>
    <xf numFmtId="0" fontId="38" fillId="2" borderId="0" xfId="0" applyFont="1" applyFill="1" applyBorder="1" applyAlignment="1" applyProtection="1">
      <alignment vertical="center"/>
    </xf>
    <xf numFmtId="0" fontId="5" fillId="2" borderId="0" xfId="0" applyFont="1" applyFill="1" applyBorder="1" applyProtection="1"/>
    <xf numFmtId="0" fontId="2" fillId="2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4" fontId="15" fillId="2" borderId="1" xfId="0" applyNumberFormat="1" applyFont="1" applyFill="1" applyBorder="1" applyAlignment="1" applyProtection="1">
      <alignment horizontal="center" vertical="center" wrapText="1"/>
    </xf>
    <xf numFmtId="4" fontId="15" fillId="2" borderId="1" xfId="0" applyNumberFormat="1" applyFont="1" applyFill="1" applyBorder="1" applyAlignment="1" applyProtection="1">
      <alignment horizontal="center" vertical="center"/>
    </xf>
    <xf numFmtId="4" fontId="15" fillId="2" borderId="7" xfId="0" applyNumberFormat="1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 wrapText="1"/>
    </xf>
    <xf numFmtId="0" fontId="15" fillId="2" borderId="12" xfId="0" applyFont="1" applyFill="1" applyBorder="1" applyAlignment="1" applyProtection="1">
      <alignment horizontal="center" vertical="center" wrapText="1"/>
    </xf>
    <xf numFmtId="0" fontId="22" fillId="2" borderId="7" xfId="0" applyFont="1" applyFill="1" applyBorder="1" applyAlignment="1" applyProtection="1">
      <alignment horizontal="center" vertical="center" wrapText="1"/>
    </xf>
    <xf numFmtId="0" fontId="22" fillId="2" borderId="12" xfId="0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/>
    </xf>
    <xf numFmtId="4" fontId="16" fillId="2" borderId="7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2" fillId="8" borderId="0" xfId="0" applyFont="1" applyFill="1" applyBorder="1" applyAlignment="1" applyProtection="1">
      <alignment horizontal="right" vertical="center"/>
    </xf>
    <xf numFmtId="0" fontId="12" fillId="9" borderId="2" xfId="0" applyFont="1" applyFill="1" applyBorder="1" applyAlignment="1" applyProtection="1">
      <alignment horizontal="left"/>
    </xf>
    <xf numFmtId="0" fontId="18" fillId="7" borderId="0" xfId="0" applyFont="1" applyFill="1" applyBorder="1" applyAlignment="1" applyProtection="1">
      <alignment horizontal="left" vertical="center"/>
    </xf>
    <xf numFmtId="0" fontId="6" fillId="7" borderId="0" xfId="0" applyFont="1" applyFill="1" applyBorder="1" applyAlignment="1" applyProtection="1">
      <alignment horizontal="center" vertical="center"/>
    </xf>
    <xf numFmtId="4" fontId="15" fillId="7" borderId="0" xfId="0" applyNumberFormat="1" applyFont="1" applyFill="1" applyBorder="1" applyAlignment="1" applyProtection="1">
      <alignment horizontal="left" vertical="center"/>
    </xf>
    <xf numFmtId="0" fontId="12" fillId="9" borderId="3" xfId="0" applyFont="1" applyFill="1" applyBorder="1" applyAlignment="1" applyProtection="1">
      <alignment horizontal="left"/>
    </xf>
    <xf numFmtId="3" fontId="15" fillId="9" borderId="5" xfId="0" applyNumberFormat="1" applyFont="1" applyFill="1" applyBorder="1" applyAlignment="1" applyProtection="1">
      <alignment horizontal="right"/>
    </xf>
    <xf numFmtId="0" fontId="19" fillId="8" borderId="0" xfId="0" applyFont="1" applyFill="1" applyBorder="1" applyAlignment="1" applyProtection="1">
      <alignment horizontal="left" vertical="center"/>
    </xf>
    <xf numFmtId="0" fontId="12" fillId="8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 vertical="center" wrapText="1"/>
    </xf>
    <xf numFmtId="0" fontId="22" fillId="2" borderId="8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4" fontId="15" fillId="2" borderId="10" xfId="0" applyNumberFormat="1" applyFont="1" applyFill="1" applyBorder="1" applyAlignment="1" applyProtection="1">
      <alignment horizontal="center" vertical="center"/>
    </xf>
    <xf numFmtId="4" fontId="15" fillId="2" borderId="10" xfId="0" applyNumberFormat="1" applyFont="1" applyFill="1" applyBorder="1" applyAlignment="1" applyProtection="1">
      <alignment horizontal="center" vertical="center" wrapText="1"/>
    </xf>
    <xf numFmtId="4" fontId="15" fillId="2" borderId="3" xfId="0" applyNumberFormat="1" applyFont="1" applyFill="1" applyBorder="1" applyAlignment="1" applyProtection="1">
      <alignment horizontal="center" vertical="center" wrapText="1"/>
    </xf>
    <xf numFmtId="4" fontId="15" fillId="2" borderId="13" xfId="0" applyNumberFormat="1" applyFont="1" applyFill="1" applyBorder="1" applyAlignment="1" applyProtection="1">
      <alignment horizontal="center" vertical="center" wrapText="1"/>
    </xf>
    <xf numFmtId="0" fontId="1" fillId="10" borderId="0" xfId="0" applyFont="1" applyFill="1" applyBorder="1" applyAlignment="1" applyProtection="1">
      <alignment horizontal="right" vertical="center"/>
    </xf>
  </cellXfs>
  <cellStyles count="1">
    <cellStyle name="Normal" xfId="0" builtinId="0"/>
  </cellStyles>
  <dxfs count="227"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CCEB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2638246</xdr:colOff>
      <xdr:row>1</xdr:row>
      <xdr:rowOff>809625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66676"/>
          <a:ext cx="2638246" cy="809624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84</xdr:row>
      <xdr:rowOff>28598</xdr:rowOff>
    </xdr:from>
    <xdr:to>
      <xdr:col>1</xdr:col>
      <xdr:colOff>2438400</xdr:colOff>
      <xdr:row>88</xdr:row>
      <xdr:rowOff>19024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781270" y="17392673"/>
          <a:ext cx="761905" cy="752426"/>
          <a:chOff x="1838420" y="15535298"/>
          <a:chExt cx="761905" cy="752426"/>
        </a:xfrm>
      </xdr:grpSpPr>
      <xdr:pic>
        <xdr:nvPicPr>
          <xdr:cNvPr id="4" name="Imagen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5" name="Imagen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6" name="Imagen 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95250</xdr:colOff>
      <xdr:row>3</xdr:row>
      <xdr:rowOff>114300</xdr:rowOff>
    </xdr:from>
    <xdr:to>
      <xdr:col>6</xdr:col>
      <xdr:colOff>295250</xdr:colOff>
      <xdr:row>4</xdr:row>
      <xdr:rowOff>56175</xdr:rowOff>
    </xdr:to>
    <xdr:pic>
      <xdr:nvPicPr>
        <xdr:cNvPr id="7" name="Imagen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43525" y="1181100"/>
          <a:ext cx="200000" cy="18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95250</xdr:colOff>
      <xdr:row>3</xdr:row>
      <xdr:rowOff>114300</xdr:rowOff>
    </xdr:from>
    <xdr:to>
      <xdr:col>7</xdr:col>
      <xdr:colOff>295250</xdr:colOff>
      <xdr:row>4</xdr:row>
      <xdr:rowOff>56175</xdr:rowOff>
    </xdr:to>
    <xdr:pic>
      <xdr:nvPicPr>
        <xdr:cNvPr id="8" name="Imagen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24525" y="1181100"/>
          <a:ext cx="200000" cy="1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85</xdr:row>
          <xdr:rowOff>114300</xdr:rowOff>
        </xdr:from>
        <xdr:to>
          <xdr:col>1</xdr:col>
          <xdr:colOff>1562100</xdr:colOff>
          <xdr:row>86</xdr:row>
          <xdr:rowOff>142875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47625</xdr:colOff>
      <xdr:row>10</xdr:row>
      <xdr:rowOff>0</xdr:rowOff>
    </xdr:from>
    <xdr:to>
      <xdr:col>1</xdr:col>
      <xdr:colOff>253339</xdr:colOff>
      <xdr:row>10</xdr:row>
      <xdr:rowOff>180000</xdr:rowOff>
    </xdr:to>
    <xdr:pic>
      <xdr:nvPicPr>
        <xdr:cNvPr id="14" name="Imagen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609850"/>
          <a:ext cx="205714" cy="18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2647950</xdr:colOff>
      <xdr:row>1</xdr:row>
      <xdr:rowOff>812603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66676"/>
          <a:ext cx="2647950" cy="812602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75</xdr:row>
      <xdr:rowOff>28598</xdr:rowOff>
    </xdr:from>
    <xdr:to>
      <xdr:col>1</xdr:col>
      <xdr:colOff>2438400</xdr:colOff>
      <xdr:row>79</xdr:row>
      <xdr:rowOff>19024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838420" y="15011423"/>
          <a:ext cx="761905" cy="752426"/>
          <a:chOff x="1838420" y="15535298"/>
          <a:chExt cx="761905" cy="752426"/>
        </a:xfrm>
      </xdr:grpSpPr>
      <xdr:pic>
        <xdr:nvPicPr>
          <xdr:cNvPr id="23" name="Imagen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24" name="Imagen 2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25" name="Imagen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47625</xdr:colOff>
      <xdr:row>4</xdr:row>
      <xdr:rowOff>57150</xdr:rowOff>
    </xdr:from>
    <xdr:to>
      <xdr:col>6</xdr:col>
      <xdr:colOff>333339</xdr:colOff>
      <xdr:row>5</xdr:row>
      <xdr:rowOff>114268</xdr:rowOff>
    </xdr:to>
    <xdr:pic>
      <xdr:nvPicPr>
        <xdr:cNvPr id="35" name="Imagen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53050" y="1371600"/>
          <a:ext cx="285714" cy="257143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4</xdr:row>
      <xdr:rowOff>47625</xdr:rowOff>
    </xdr:from>
    <xdr:to>
      <xdr:col>7</xdr:col>
      <xdr:colOff>333339</xdr:colOff>
      <xdr:row>5</xdr:row>
      <xdr:rowOff>104743</xdr:rowOff>
    </xdr:to>
    <xdr:pic>
      <xdr:nvPicPr>
        <xdr:cNvPr id="36" name="Imagen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34050" y="1362075"/>
          <a:ext cx="285714" cy="2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76</xdr:row>
          <xdr:rowOff>114300</xdr:rowOff>
        </xdr:from>
        <xdr:to>
          <xdr:col>1</xdr:col>
          <xdr:colOff>1562100</xdr:colOff>
          <xdr:row>77</xdr:row>
          <xdr:rowOff>142875</xdr:rowOff>
        </xdr:to>
        <xdr:sp macro="" textlink="">
          <xdr:nvSpPr>
            <xdr:cNvPr id="4103" name="Label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57150</xdr:colOff>
      <xdr:row>1</xdr:row>
      <xdr:rowOff>342900</xdr:rowOff>
    </xdr:from>
    <xdr:to>
      <xdr:col>23</xdr:col>
      <xdr:colOff>247579</xdr:colOff>
      <xdr:row>1</xdr:row>
      <xdr:rowOff>533376</xdr:rowOff>
    </xdr:to>
    <xdr:pic>
      <xdr:nvPicPr>
        <xdr:cNvPr id="18" name="Imagen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06025" y="409575"/>
          <a:ext cx="571429" cy="190476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114300</xdr:rowOff>
    </xdr:from>
    <xdr:to>
      <xdr:col>23</xdr:col>
      <xdr:colOff>152340</xdr:colOff>
      <xdr:row>1</xdr:row>
      <xdr:rowOff>295252</xdr:rowOff>
    </xdr:to>
    <xdr:pic>
      <xdr:nvPicPr>
        <xdr:cNvPr id="21" name="Imagen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06025" y="180975"/>
          <a:ext cx="476190" cy="180952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581051</xdr:rowOff>
    </xdr:from>
    <xdr:to>
      <xdr:col>23</xdr:col>
      <xdr:colOff>438055</xdr:colOff>
      <xdr:row>1</xdr:row>
      <xdr:rowOff>790575</xdr:rowOff>
    </xdr:to>
    <xdr:pic>
      <xdr:nvPicPr>
        <xdr:cNvPr id="26" name="Imagen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06025" y="647726"/>
          <a:ext cx="761905" cy="2095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542925</xdr:colOff>
          <xdr:row>1</xdr:row>
          <xdr:rowOff>333375</xdr:rowOff>
        </xdr:from>
        <xdr:to>
          <xdr:col>23</xdr:col>
          <xdr:colOff>1276350</xdr:colOff>
          <xdr:row>1</xdr:row>
          <xdr:rowOff>552450</xdr:rowOff>
        </xdr:to>
        <xdr:sp macro="" textlink="">
          <xdr:nvSpPr>
            <xdr:cNvPr id="4104" name="Label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C850B0-845A-4850-96A8-8BBF67C52474}" name="Tabla1" displayName="Tabla1" ref="B3:E11" totalsRowShown="0" headerRowDxfId="226" dataDxfId="225">
  <autoFilter ref="B3:E11" xr:uid="{DF5DDCA5-697E-484F-8867-B557BE3F6326}"/>
  <tableColumns count="4">
    <tableColumn id="1" xr3:uid="{673C4E65-C9E7-436F-A488-041D1F90C60A}" name="IVA" dataDxfId="224"/>
    <tableColumn id="2" xr3:uid="{F5D70241-CC15-41F8-B7C1-214D6E527AB2}" name="IRPF" dataDxfId="223"/>
    <tableColumn id="4" xr3:uid="{9C37BBAF-5573-4873-A623-BEEB47AF217D}" name="Puntual" dataDxfId="222"/>
    <tableColumn id="3" xr3:uid="{4A41A97F-A4A0-40D9-9595-82885A6CD526}" name="Periòde" dataDxfId="2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8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8E0FE-269A-4735-A646-CBFF4D8F983F}">
  <sheetPr codeName="Hoja7"/>
  <dimension ref="B1:Z90"/>
  <sheetViews>
    <sheetView tabSelected="1" zoomScaleNormal="100" workbookViewId="0">
      <pane ySplit="6" topLeftCell="A7" activePane="bottomLeft" state="frozen"/>
      <selection pane="bottomLeft" activeCell="F12" sqref="F12"/>
    </sheetView>
  </sheetViews>
  <sheetFormatPr baseColWidth="10" defaultColWidth="9.140625" defaultRowHeight="15"/>
  <cols>
    <col min="1" max="1" width="1.5703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4.85546875" style="4" customWidth="1"/>
    <col min="24" max="24" width="9.85546875" style="4" customWidth="1"/>
    <col min="25" max="16384" width="9.140625" style="4"/>
  </cols>
  <sheetData>
    <row r="1" spans="2:26" ht="5.25" customHeight="1">
      <c r="W1" s="5"/>
      <c r="X1" s="5"/>
      <c r="Y1" s="5"/>
      <c r="Z1" s="5"/>
    </row>
    <row r="2" spans="2:26" ht="64.5" customHeight="1">
      <c r="B2" s="5"/>
      <c r="C2" s="137" t="s">
        <v>122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W2" s="116" t="s">
        <v>102</v>
      </c>
      <c r="X2" s="116"/>
      <c r="Y2" s="5"/>
      <c r="Z2" s="5"/>
    </row>
    <row r="3" spans="2:26" s="109" customFormat="1" ht="14.25" customHeight="1">
      <c r="B3" s="167" t="s">
        <v>123</v>
      </c>
      <c r="C3" s="134" t="s">
        <v>118</v>
      </c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W3" s="5"/>
      <c r="X3" s="5"/>
      <c r="Y3" s="112"/>
      <c r="Z3" s="112"/>
    </row>
    <row r="4" spans="2:26" ht="18.75" customHeight="1">
      <c r="B4" s="139" t="s">
        <v>98</v>
      </c>
      <c r="C4" s="164" t="s">
        <v>31</v>
      </c>
      <c r="D4" s="165"/>
      <c r="E4" s="166"/>
      <c r="F4" s="142" t="s">
        <v>44</v>
      </c>
      <c r="G4" s="142"/>
      <c r="H4" s="144"/>
      <c r="I4" s="140" t="s">
        <v>32</v>
      </c>
      <c r="J4" s="140"/>
      <c r="K4" s="140"/>
      <c r="L4" s="140"/>
      <c r="M4" s="140"/>
      <c r="N4" s="140"/>
      <c r="O4" s="140"/>
      <c r="P4" s="140"/>
      <c r="Q4" s="140"/>
      <c r="R4" s="140"/>
      <c r="S4" s="110"/>
      <c r="T4" s="110"/>
      <c r="U4" s="146" t="s">
        <v>68</v>
      </c>
      <c r="W4" s="5"/>
      <c r="X4" s="5"/>
      <c r="Y4" s="5"/>
      <c r="Z4" s="5"/>
    </row>
    <row r="5" spans="2:26" ht="6" customHeight="1">
      <c r="B5" s="140"/>
      <c r="C5" s="149" t="s">
        <v>35</v>
      </c>
      <c r="D5" s="149" t="s">
        <v>47</v>
      </c>
      <c r="E5" s="149" t="s">
        <v>36</v>
      </c>
      <c r="F5" s="143"/>
      <c r="G5" s="143"/>
      <c r="H5" s="145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10"/>
      <c r="T5" s="110"/>
      <c r="U5" s="147"/>
      <c r="W5" s="5"/>
      <c r="X5" s="5"/>
      <c r="Y5" s="5"/>
      <c r="Z5" s="5"/>
    </row>
    <row r="6" spans="2:26" ht="24" customHeight="1">
      <c r="B6" s="141"/>
      <c r="C6" s="142"/>
      <c r="D6" s="142"/>
      <c r="E6" s="142"/>
      <c r="F6" s="143"/>
      <c r="G6" s="118" t="s">
        <v>99</v>
      </c>
      <c r="H6" s="118" t="s">
        <v>100</v>
      </c>
      <c r="I6" s="117" t="s">
        <v>37</v>
      </c>
      <c r="J6" s="117" t="s">
        <v>45</v>
      </c>
      <c r="K6" s="117" t="s">
        <v>46</v>
      </c>
      <c r="L6" s="117" t="s">
        <v>38</v>
      </c>
      <c r="M6" s="117" t="s">
        <v>45</v>
      </c>
      <c r="N6" s="117" t="s">
        <v>46</v>
      </c>
      <c r="O6" s="117" t="s">
        <v>39</v>
      </c>
      <c r="P6" s="117" t="s">
        <v>45</v>
      </c>
      <c r="Q6" s="117" t="s">
        <v>46</v>
      </c>
      <c r="R6" s="117" t="s">
        <v>40</v>
      </c>
      <c r="S6" s="117" t="s">
        <v>45</v>
      </c>
      <c r="T6" s="117" t="s">
        <v>46</v>
      </c>
      <c r="U6" s="148"/>
      <c r="W6" s="5"/>
      <c r="X6" s="5"/>
      <c r="Y6" s="5"/>
      <c r="Z6" s="5"/>
    </row>
    <row r="7" spans="2:26" ht="27" customHeight="1">
      <c r="B7" s="138" t="s">
        <v>0</v>
      </c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</row>
    <row r="8" spans="2:26" ht="15.95" customHeight="1">
      <c r="B8" s="43" t="s">
        <v>1</v>
      </c>
      <c r="C8" s="41">
        <f>C13</f>
        <v>0</v>
      </c>
      <c r="D8" s="42"/>
      <c r="E8" s="41">
        <f>E13</f>
        <v>0</v>
      </c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8">
        <f>SUM(U9:U13)</f>
        <v>0</v>
      </c>
    </row>
    <row r="9" spans="2:26" ht="15" customHeight="1">
      <c r="B9" s="24" t="s">
        <v>13</v>
      </c>
      <c r="C9" s="88"/>
      <c r="D9" s="63"/>
      <c r="E9" s="28"/>
      <c r="F9" s="122"/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</row>
    <row r="10" spans="2:26" ht="15" customHeight="1">
      <c r="B10" s="25" t="s">
        <v>61</v>
      </c>
      <c r="C10" s="89"/>
      <c r="D10" s="64"/>
      <c r="E10" s="32"/>
      <c r="F10" s="123"/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</row>
    <row r="11" spans="2:26" ht="15" customHeight="1">
      <c r="B11" s="26" t="s">
        <v>88</v>
      </c>
      <c r="C11" s="89"/>
      <c r="D11" s="64"/>
      <c r="E11" s="32"/>
      <c r="F11" s="123"/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</row>
    <row r="12" spans="2:26" ht="15" customHeight="1">
      <c r="B12" s="26" t="s">
        <v>121</v>
      </c>
      <c r="C12" s="90"/>
      <c r="D12" s="65"/>
      <c r="E12" s="32"/>
      <c r="F12" s="123"/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</row>
    <row r="13" spans="2:26" ht="15" customHeight="1">
      <c r="B13" s="27" t="s">
        <v>14</v>
      </c>
      <c r="C13" s="22"/>
      <c r="D13" s="124"/>
      <c r="E13" s="22"/>
      <c r="F13" s="124"/>
      <c r="G13" s="125"/>
      <c r="H13" s="125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4">
        <f>CalcIva($G13,$H13,$L13)</f>
        <v>0</v>
      </c>
      <c r="N13" s="54">
        <f>CalcIrpf($G13,$H13,$L13)</f>
        <v>0</v>
      </c>
      <c r="O13" s="46">
        <f>Import3T($C13,$D13,$E13,$F13)</f>
        <v>0</v>
      </c>
      <c r="P13" s="54">
        <f>CalcIva($G13,$H13,$O13)</f>
        <v>0</v>
      </c>
      <c r="Q13" s="54">
        <f>CalcIrpf($G13,$H13,$O13)</f>
        <v>0</v>
      </c>
      <c r="R13" s="46">
        <f>Import4T($C13,$D13,$E13,$F13)</f>
        <v>0</v>
      </c>
      <c r="S13" s="54">
        <f>CalcIva($G13,$H13,$R13)</f>
        <v>0</v>
      </c>
      <c r="T13" s="54">
        <f>CalcIrpf($G13,$H13,$R13)</f>
        <v>0</v>
      </c>
      <c r="U13" s="47">
        <f>SUM($I13,$L13,$O13,$R13)</f>
        <v>0</v>
      </c>
    </row>
    <row r="14" spans="2:26" ht="15.95" customHeight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U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 t="shared" si="0"/>
        <v>0</v>
      </c>
    </row>
    <row r="15" spans="2:26" ht="15" customHeight="1">
      <c r="B15" s="44" t="s">
        <v>33</v>
      </c>
      <c r="C15" s="22"/>
      <c r="D15" s="122"/>
      <c r="E15" s="22"/>
      <c r="F15" s="122"/>
      <c r="G15" s="46"/>
      <c r="H15" s="46"/>
      <c r="I15" s="46">
        <f>Import1T($C15,$D15,$E15,$F15)</f>
        <v>0</v>
      </c>
      <c r="J15" s="54">
        <f>CalcIva($G15,$H15,$I15)</f>
        <v>0</v>
      </c>
      <c r="K15" s="54">
        <f>CalcIrpf($G15,$H15,$I15)</f>
        <v>0</v>
      </c>
      <c r="L15" s="46">
        <f>Import2T($C15,$D15,$E15,$F15)</f>
        <v>0</v>
      </c>
      <c r="M15" s="54">
        <f>CalcIva($G15,$H15,$L15)</f>
        <v>0</v>
      </c>
      <c r="N15" s="54">
        <f>CalcIrpf($G15,$H15,$L15)</f>
        <v>0</v>
      </c>
      <c r="O15" s="46">
        <f>Import3T($C15,$D15,$E15,$F15)</f>
        <v>0</v>
      </c>
      <c r="P15" s="54">
        <f>CalcIva($G15,$H15,$O15)</f>
        <v>0</v>
      </c>
      <c r="Q15" s="54">
        <f>CalcIrpf($G15,$H15,$O15)</f>
        <v>0</v>
      </c>
      <c r="R15" s="46">
        <f>Import4T($C15,$D15,$E15,$F15)</f>
        <v>0</v>
      </c>
      <c r="S15" s="54">
        <f>CalcIva($G15,$H15,$R15)</f>
        <v>0</v>
      </c>
      <c r="T15" s="54">
        <f>CalcIrpf($G15,$H15,$R15)</f>
        <v>0</v>
      </c>
      <c r="U15" s="47">
        <f>SUM($I15,$L15,$O15,$R15)</f>
        <v>0</v>
      </c>
    </row>
    <row r="16" spans="2:26" ht="15.95" customHeight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U16" si="1">SUM(I17:I18)</f>
        <v>0</v>
      </c>
      <c r="J16" s="41">
        <f t="shared" si="1"/>
        <v>0</v>
      </c>
      <c r="K16" s="41">
        <f t="shared" si="1"/>
        <v>0</v>
      </c>
      <c r="L16" s="41">
        <f>SUM(L17:L18)</f>
        <v>0</v>
      </c>
      <c r="M16" s="41">
        <f t="shared" si="1"/>
        <v>0</v>
      </c>
      <c r="N16" s="41">
        <f t="shared" si="1"/>
        <v>0</v>
      </c>
      <c r="O16" s="41">
        <f>SUM(O17:O18)</f>
        <v>0</v>
      </c>
      <c r="P16" s="41">
        <f>SUM(P17:P18)</f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 t="shared" si="1"/>
        <v>0</v>
      </c>
    </row>
    <row r="17" spans="2:23" ht="15" customHeight="1">
      <c r="B17" s="44" t="s">
        <v>3</v>
      </c>
      <c r="C17" s="28"/>
      <c r="D17" s="122"/>
      <c r="E17" s="28"/>
      <c r="F17" s="122"/>
      <c r="G17" s="126"/>
      <c r="H17" s="126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>
      <c r="B18" s="27" t="s">
        <v>11</v>
      </c>
      <c r="C18" s="36"/>
      <c r="D18" s="121"/>
      <c r="E18" s="36"/>
      <c r="F18" s="122"/>
      <c r="G18" s="125"/>
      <c r="H18" s="125"/>
      <c r="I18" s="46">
        <f t="shared" si="2"/>
        <v>0</v>
      </c>
      <c r="J18" s="54">
        <f t="shared" si="3"/>
        <v>0</v>
      </c>
      <c r="K18" s="54">
        <f t="shared" si="4"/>
        <v>0</v>
      </c>
      <c r="L18" s="46">
        <f t="shared" si="5"/>
        <v>0</v>
      </c>
      <c r="M18" s="54">
        <f t="shared" si="6"/>
        <v>0</v>
      </c>
      <c r="N18" s="54">
        <f t="shared" si="7"/>
        <v>0</v>
      </c>
      <c r="O18" s="46">
        <f t="shared" si="8"/>
        <v>0</v>
      </c>
      <c r="P18" s="54">
        <f t="shared" si="9"/>
        <v>0</v>
      </c>
      <c r="Q18" s="54">
        <f t="shared" si="10"/>
        <v>0</v>
      </c>
      <c r="R18" s="46">
        <f t="shared" si="11"/>
        <v>0</v>
      </c>
      <c r="S18" s="54">
        <f t="shared" si="12"/>
        <v>0</v>
      </c>
      <c r="T18" s="54">
        <f t="shared" si="13"/>
        <v>0</v>
      </c>
      <c r="U18" s="47">
        <f>SUM($I18,$L18,$O18,$R18)</f>
        <v>0</v>
      </c>
    </row>
    <row r="19" spans="2:23" ht="15.95" customHeight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U19" si="14">SUM(I20:I25)</f>
        <v>0</v>
      </c>
      <c r="J19" s="41">
        <f>SUM(J20:J25)</f>
        <v>0</v>
      </c>
      <c r="K19" s="41">
        <f>SUM(K20:K25)</f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 t="shared" si="14"/>
        <v>0</v>
      </c>
    </row>
    <row r="20" spans="2:23" ht="15" customHeight="1">
      <c r="B20" s="44" t="s">
        <v>22</v>
      </c>
      <c r="C20" s="28"/>
      <c r="D20" s="122"/>
      <c r="E20" s="28"/>
      <c r="F20" s="122"/>
      <c r="G20" s="126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>
        <f t="shared" ref="K20:K25" si="17">CalcIrpf($G20,$H20,$I20)</f>
        <v>0</v>
      </c>
      <c r="L20" s="17">
        <f t="shared" ref="L20:L25" si="18">Import2T($C20,$D20,$E20,$F20)</f>
        <v>0</v>
      </c>
      <c r="M20" s="50">
        <f t="shared" ref="M20:M25" si="19">CalcIva($G20,$H20,$L20)</f>
        <v>0</v>
      </c>
      <c r="N20" s="50">
        <f t="shared" ref="N20:N25" si="20">CalcIrpf($G20,$H20,$L20)</f>
        <v>0</v>
      </c>
      <c r="O20" s="17">
        <f t="shared" ref="O20:O25" si="21">Import3T($C20,$D20,$E20,$F20)</f>
        <v>0</v>
      </c>
      <c r="P20" s="50">
        <f t="shared" ref="P20:P25" si="22">CalcIva($G20,$H20,$O20)</f>
        <v>0</v>
      </c>
      <c r="Q20" s="50">
        <f t="shared" ref="Q20:Q25" si="23">CalcIrpf($G20,$H20,$O20)</f>
        <v>0</v>
      </c>
      <c r="R20" s="17">
        <f t="shared" ref="R20:R25" si="24">Import4T($C20,$D20,$E20,$F20)</f>
        <v>0</v>
      </c>
      <c r="S20" s="50">
        <f t="shared" ref="S20:S25" si="25">CalcIva($G20,$H20,$R20)</f>
        <v>0</v>
      </c>
      <c r="T20" s="50">
        <f t="shared" ref="T20:T25" si="26">CalcIrpf($G20,$H20,$R20)</f>
        <v>0</v>
      </c>
      <c r="U20" s="18">
        <f t="shared" ref="U20:U25" si="27">SUM($I20,$L20,$O20,$R20)</f>
        <v>0</v>
      </c>
    </row>
    <row r="21" spans="2:23" ht="15" customHeight="1">
      <c r="B21" s="27" t="s">
        <v>23</v>
      </c>
      <c r="C21" s="32"/>
      <c r="D21" s="122"/>
      <c r="E21" s="32"/>
      <c r="F21" s="123"/>
      <c r="G21" s="127"/>
      <c r="H21" s="71"/>
      <c r="I21" s="17">
        <f t="shared" si="15"/>
        <v>0</v>
      </c>
      <c r="J21" s="50">
        <f t="shared" si="16"/>
        <v>0</v>
      </c>
      <c r="K21" s="50">
        <f t="shared" si="17"/>
        <v>0</v>
      </c>
      <c r="L21" s="17">
        <f t="shared" si="18"/>
        <v>0</v>
      </c>
      <c r="M21" s="50">
        <f t="shared" si="19"/>
        <v>0</v>
      </c>
      <c r="N21" s="50">
        <f t="shared" si="20"/>
        <v>0</v>
      </c>
      <c r="O21" s="17">
        <f t="shared" si="21"/>
        <v>0</v>
      </c>
      <c r="P21" s="50">
        <f t="shared" si="22"/>
        <v>0</v>
      </c>
      <c r="Q21" s="50">
        <f t="shared" si="23"/>
        <v>0</v>
      </c>
      <c r="R21" s="17">
        <f t="shared" si="24"/>
        <v>0</v>
      </c>
      <c r="S21" s="50">
        <f t="shared" si="25"/>
        <v>0</v>
      </c>
      <c r="T21" s="50">
        <f t="shared" si="26"/>
        <v>0</v>
      </c>
      <c r="U21" s="18">
        <f>SUM($I21,$L21,$O21,$R21)</f>
        <v>0</v>
      </c>
    </row>
    <row r="22" spans="2:23" ht="15" customHeight="1">
      <c r="B22" s="27" t="s">
        <v>24</v>
      </c>
      <c r="C22" s="32"/>
      <c r="D22" s="122"/>
      <c r="E22" s="32"/>
      <c r="F22" s="123"/>
      <c r="G22" s="127"/>
      <c r="H22" s="71"/>
      <c r="I22" s="17">
        <f t="shared" si="15"/>
        <v>0</v>
      </c>
      <c r="J22" s="50">
        <f t="shared" si="16"/>
        <v>0</v>
      </c>
      <c r="K22" s="50">
        <f t="shared" si="17"/>
        <v>0</v>
      </c>
      <c r="L22" s="17">
        <f t="shared" si="18"/>
        <v>0</v>
      </c>
      <c r="M22" s="50">
        <f t="shared" si="19"/>
        <v>0</v>
      </c>
      <c r="N22" s="50">
        <f t="shared" si="20"/>
        <v>0</v>
      </c>
      <c r="O22" s="17">
        <f t="shared" si="21"/>
        <v>0</v>
      </c>
      <c r="P22" s="50">
        <f t="shared" si="22"/>
        <v>0</v>
      </c>
      <c r="Q22" s="50">
        <f t="shared" si="23"/>
        <v>0</v>
      </c>
      <c r="R22" s="17">
        <f t="shared" si="24"/>
        <v>0</v>
      </c>
      <c r="S22" s="50">
        <f t="shared" si="25"/>
        <v>0</v>
      </c>
      <c r="T22" s="50">
        <f t="shared" si="26"/>
        <v>0</v>
      </c>
      <c r="U22" s="18">
        <f t="shared" si="27"/>
        <v>0</v>
      </c>
    </row>
    <row r="23" spans="2:23" ht="15" customHeight="1">
      <c r="B23" s="27" t="s">
        <v>25</v>
      </c>
      <c r="C23" s="32"/>
      <c r="D23" s="122"/>
      <c r="E23" s="32"/>
      <c r="F23" s="123"/>
      <c r="G23" s="127"/>
      <c r="H23" s="71"/>
      <c r="I23" s="17">
        <f t="shared" si="15"/>
        <v>0</v>
      </c>
      <c r="J23" s="50">
        <f t="shared" si="16"/>
        <v>0</v>
      </c>
      <c r="K23" s="50">
        <f t="shared" si="17"/>
        <v>0</v>
      </c>
      <c r="L23" s="17">
        <f t="shared" si="18"/>
        <v>0</v>
      </c>
      <c r="M23" s="50">
        <f t="shared" si="19"/>
        <v>0</v>
      </c>
      <c r="N23" s="50">
        <f t="shared" si="20"/>
        <v>0</v>
      </c>
      <c r="O23" s="17">
        <f t="shared" si="21"/>
        <v>0</v>
      </c>
      <c r="P23" s="50">
        <f t="shared" si="22"/>
        <v>0</v>
      </c>
      <c r="Q23" s="50">
        <f t="shared" si="23"/>
        <v>0</v>
      </c>
      <c r="R23" s="17">
        <f t="shared" si="24"/>
        <v>0</v>
      </c>
      <c r="S23" s="50">
        <f t="shared" si="25"/>
        <v>0</v>
      </c>
      <c r="T23" s="50">
        <f t="shared" si="26"/>
        <v>0</v>
      </c>
      <c r="U23" s="18">
        <f>SUM($I23,$L23,$O23,$R23)</f>
        <v>0</v>
      </c>
    </row>
    <row r="24" spans="2:23" ht="15" customHeight="1">
      <c r="B24" s="27" t="s">
        <v>26</v>
      </c>
      <c r="C24" s="32"/>
      <c r="D24" s="122"/>
      <c r="E24" s="32"/>
      <c r="F24" s="123"/>
      <c r="G24" s="127"/>
      <c r="H24" s="71"/>
      <c r="I24" s="17">
        <f t="shared" si="15"/>
        <v>0</v>
      </c>
      <c r="J24" s="50">
        <f t="shared" si="16"/>
        <v>0</v>
      </c>
      <c r="K24" s="50">
        <f t="shared" si="17"/>
        <v>0</v>
      </c>
      <c r="L24" s="17">
        <f t="shared" si="18"/>
        <v>0</v>
      </c>
      <c r="M24" s="50">
        <f t="shared" si="19"/>
        <v>0</v>
      </c>
      <c r="N24" s="50">
        <f t="shared" si="20"/>
        <v>0</v>
      </c>
      <c r="O24" s="17">
        <f t="shared" si="21"/>
        <v>0</v>
      </c>
      <c r="P24" s="50">
        <f t="shared" si="22"/>
        <v>0</v>
      </c>
      <c r="Q24" s="50">
        <f t="shared" si="23"/>
        <v>0</v>
      </c>
      <c r="R24" s="17">
        <f t="shared" si="24"/>
        <v>0</v>
      </c>
      <c r="S24" s="50">
        <f t="shared" si="25"/>
        <v>0</v>
      </c>
      <c r="T24" s="50">
        <f t="shared" si="26"/>
        <v>0</v>
      </c>
      <c r="U24" s="18">
        <f t="shared" si="27"/>
        <v>0</v>
      </c>
    </row>
    <row r="25" spans="2:23" ht="15" customHeight="1">
      <c r="B25" s="27" t="s">
        <v>27</v>
      </c>
      <c r="C25" s="36"/>
      <c r="D25" s="121"/>
      <c r="E25" s="36"/>
      <c r="F25" s="121"/>
      <c r="G25" s="128"/>
      <c r="H25" s="19"/>
      <c r="I25" s="19">
        <f t="shared" si="15"/>
        <v>0</v>
      </c>
      <c r="J25" s="52">
        <f t="shared" si="16"/>
        <v>0</v>
      </c>
      <c r="K25" s="52">
        <f t="shared" si="17"/>
        <v>0</v>
      </c>
      <c r="L25" s="19">
        <f t="shared" si="18"/>
        <v>0</v>
      </c>
      <c r="M25" s="54">
        <f t="shared" si="19"/>
        <v>0</v>
      </c>
      <c r="N25" s="54">
        <f t="shared" si="20"/>
        <v>0</v>
      </c>
      <c r="O25" s="46">
        <f t="shared" si="21"/>
        <v>0</v>
      </c>
      <c r="P25" s="54">
        <f t="shared" si="22"/>
        <v>0</v>
      </c>
      <c r="Q25" s="54">
        <f t="shared" si="23"/>
        <v>0</v>
      </c>
      <c r="R25" s="46">
        <f t="shared" si="24"/>
        <v>0</v>
      </c>
      <c r="S25" s="54">
        <f t="shared" si="25"/>
        <v>0</v>
      </c>
      <c r="T25" s="54">
        <f t="shared" si="26"/>
        <v>0</v>
      </c>
      <c r="U25" s="47">
        <f t="shared" si="27"/>
        <v>0</v>
      </c>
    </row>
    <row r="26" spans="2:23" ht="15.95" customHeight="1">
      <c r="B26" s="43" t="s">
        <v>9</v>
      </c>
      <c r="C26" s="41">
        <f>SUM(C27:C38)</f>
        <v>0</v>
      </c>
      <c r="D26" s="41"/>
      <c r="E26" s="41">
        <f>SUM(E27:E38)</f>
        <v>0</v>
      </c>
      <c r="F26" s="41"/>
      <c r="G26" s="41"/>
      <c r="H26" s="41"/>
      <c r="I26" s="41">
        <f>SUM(I27:I38)</f>
        <v>0</v>
      </c>
      <c r="J26" s="41">
        <f t="shared" ref="J26:U26" si="28">SUM(J27:J38)</f>
        <v>0</v>
      </c>
      <c r="K26" s="41">
        <f t="shared" si="28"/>
        <v>0</v>
      </c>
      <c r="L26" s="41">
        <f t="shared" si="28"/>
        <v>0</v>
      </c>
      <c r="M26" s="41">
        <f t="shared" si="28"/>
        <v>0</v>
      </c>
      <c r="N26" s="41">
        <f t="shared" si="28"/>
        <v>0</v>
      </c>
      <c r="O26" s="41">
        <f t="shared" si="28"/>
        <v>0</v>
      </c>
      <c r="P26" s="41">
        <f t="shared" si="28"/>
        <v>0</v>
      </c>
      <c r="Q26" s="41">
        <f t="shared" si="28"/>
        <v>0</v>
      </c>
      <c r="R26" s="41">
        <f t="shared" si="28"/>
        <v>0</v>
      </c>
      <c r="S26" s="41">
        <f t="shared" si="28"/>
        <v>0</v>
      </c>
      <c r="T26" s="41">
        <f t="shared" si="28"/>
        <v>0</v>
      </c>
      <c r="U26" s="48">
        <f t="shared" si="28"/>
        <v>0</v>
      </c>
    </row>
    <row r="27" spans="2:23" ht="15" customHeight="1">
      <c r="B27" s="44" t="s">
        <v>95</v>
      </c>
      <c r="C27" s="28"/>
      <c r="D27" s="122"/>
      <c r="E27" s="28"/>
      <c r="F27" s="122"/>
      <c r="G27" s="126"/>
      <c r="H27" s="17"/>
      <c r="I27" s="17">
        <f t="shared" ref="I27:I36" si="29">Import1T($C27,$D27,$E27,$F27)</f>
        <v>0</v>
      </c>
      <c r="J27" s="50">
        <f t="shared" ref="J27:J36" si="30">CalcIva($G27,$H27,$I27)</f>
        <v>0</v>
      </c>
      <c r="K27" s="50">
        <f t="shared" ref="K27:K34" si="31">CalcIrpf($G27,$H27,$I27)</f>
        <v>0</v>
      </c>
      <c r="L27" s="17">
        <f t="shared" ref="L27:L36" si="32">Import2T($C27,$D27,$E27,$F27)</f>
        <v>0</v>
      </c>
      <c r="M27" s="50">
        <f t="shared" ref="M27:M36" si="33">CalcIva($G27,$H27,$L27)</f>
        <v>0</v>
      </c>
      <c r="N27" s="50">
        <f t="shared" ref="N27:N34" si="34">CalcIrpf($G27,$H27,$L27)</f>
        <v>0</v>
      </c>
      <c r="O27" s="17">
        <f t="shared" ref="O27:O36" si="35">Import3T($C27,$D27,$E27,$F27)</f>
        <v>0</v>
      </c>
      <c r="P27" s="50">
        <f t="shared" ref="P27:P36" si="36">CalcIva($G27,$H27,$O27)</f>
        <v>0</v>
      </c>
      <c r="Q27" s="50">
        <f t="shared" ref="Q27:Q34" si="37">CalcIrpf($G27,$H27,$O27)</f>
        <v>0</v>
      </c>
      <c r="R27" s="17">
        <f t="shared" ref="R27:R36" si="38">Import4T($C27,$D27,$E27,$F27)</f>
        <v>0</v>
      </c>
      <c r="S27" s="50">
        <f t="shared" ref="S27:S36" si="39">CalcIva($G27,$H27,$R27)</f>
        <v>0</v>
      </c>
      <c r="T27" s="50">
        <f t="shared" ref="T27:T34" si="40">CalcIrpf($G27,$H27,$R27)</f>
        <v>0</v>
      </c>
      <c r="U27" s="18">
        <f t="shared" ref="U27:U36" si="41">SUM($I27,$L27,$O27,$R27)</f>
        <v>0</v>
      </c>
    </row>
    <row r="28" spans="2:23" ht="15" customHeight="1">
      <c r="B28" s="27" t="s">
        <v>4</v>
      </c>
      <c r="C28" s="32"/>
      <c r="D28" s="123"/>
      <c r="E28" s="32"/>
      <c r="F28" s="123"/>
      <c r="G28" s="127"/>
      <c r="H28" s="71"/>
      <c r="I28" s="17">
        <f t="shared" si="29"/>
        <v>0</v>
      </c>
      <c r="J28" s="50">
        <f t="shared" si="30"/>
        <v>0</v>
      </c>
      <c r="K28" s="50">
        <f t="shared" si="31"/>
        <v>0</v>
      </c>
      <c r="L28" s="17">
        <f t="shared" si="32"/>
        <v>0</v>
      </c>
      <c r="M28" s="50">
        <f t="shared" si="33"/>
        <v>0</v>
      </c>
      <c r="N28" s="50">
        <f t="shared" si="34"/>
        <v>0</v>
      </c>
      <c r="O28" s="17">
        <f t="shared" si="35"/>
        <v>0</v>
      </c>
      <c r="P28" s="50">
        <f t="shared" si="36"/>
        <v>0</v>
      </c>
      <c r="Q28" s="50">
        <f t="shared" si="37"/>
        <v>0</v>
      </c>
      <c r="R28" s="17">
        <f t="shared" si="38"/>
        <v>0</v>
      </c>
      <c r="S28" s="50">
        <f t="shared" si="39"/>
        <v>0</v>
      </c>
      <c r="T28" s="50">
        <f t="shared" si="40"/>
        <v>0</v>
      </c>
      <c r="U28" s="18">
        <f t="shared" si="41"/>
        <v>0</v>
      </c>
    </row>
    <row r="29" spans="2:23" ht="15" customHeight="1">
      <c r="B29" s="27" t="s">
        <v>18</v>
      </c>
      <c r="C29" s="32"/>
      <c r="D29" s="123"/>
      <c r="E29" s="32"/>
      <c r="F29" s="123"/>
      <c r="G29" s="127"/>
      <c r="H29" s="71"/>
      <c r="I29" s="17">
        <f t="shared" si="29"/>
        <v>0</v>
      </c>
      <c r="J29" s="50">
        <f t="shared" si="30"/>
        <v>0</v>
      </c>
      <c r="K29" s="50">
        <f t="shared" si="31"/>
        <v>0</v>
      </c>
      <c r="L29" s="17">
        <f t="shared" si="32"/>
        <v>0</v>
      </c>
      <c r="M29" s="50">
        <f t="shared" si="33"/>
        <v>0</v>
      </c>
      <c r="N29" s="50">
        <f t="shared" si="34"/>
        <v>0</v>
      </c>
      <c r="O29" s="17">
        <f t="shared" si="35"/>
        <v>0</v>
      </c>
      <c r="P29" s="50">
        <f t="shared" si="36"/>
        <v>0</v>
      </c>
      <c r="Q29" s="50">
        <f t="shared" si="37"/>
        <v>0</v>
      </c>
      <c r="R29" s="17">
        <f t="shared" si="38"/>
        <v>0</v>
      </c>
      <c r="S29" s="50">
        <f t="shared" si="39"/>
        <v>0</v>
      </c>
      <c r="T29" s="50">
        <f t="shared" si="40"/>
        <v>0</v>
      </c>
      <c r="U29" s="18">
        <f t="shared" si="41"/>
        <v>0</v>
      </c>
      <c r="W29" s="133"/>
    </row>
    <row r="30" spans="2:23" ht="15" customHeight="1">
      <c r="B30" s="27" t="s">
        <v>19</v>
      </c>
      <c r="C30" s="32"/>
      <c r="D30" s="123"/>
      <c r="E30" s="32"/>
      <c r="F30" s="123"/>
      <c r="G30" s="127"/>
      <c r="H30" s="71"/>
      <c r="I30" s="17">
        <f t="shared" si="29"/>
        <v>0</v>
      </c>
      <c r="J30" s="50">
        <f t="shared" si="30"/>
        <v>0</v>
      </c>
      <c r="K30" s="50">
        <f t="shared" si="31"/>
        <v>0</v>
      </c>
      <c r="L30" s="17">
        <f t="shared" si="32"/>
        <v>0</v>
      </c>
      <c r="M30" s="50">
        <f t="shared" si="33"/>
        <v>0</v>
      </c>
      <c r="N30" s="50">
        <f t="shared" si="34"/>
        <v>0</v>
      </c>
      <c r="O30" s="17">
        <f t="shared" si="35"/>
        <v>0</v>
      </c>
      <c r="P30" s="50">
        <f t="shared" si="36"/>
        <v>0</v>
      </c>
      <c r="Q30" s="50">
        <f t="shared" si="37"/>
        <v>0</v>
      </c>
      <c r="R30" s="17">
        <f t="shared" si="38"/>
        <v>0</v>
      </c>
      <c r="S30" s="50">
        <f t="shared" si="39"/>
        <v>0</v>
      </c>
      <c r="T30" s="50">
        <f t="shared" si="40"/>
        <v>0</v>
      </c>
      <c r="U30" s="18">
        <f t="shared" si="41"/>
        <v>0</v>
      </c>
    </row>
    <row r="31" spans="2:23" ht="15" customHeight="1">
      <c r="B31" s="27" t="s">
        <v>16</v>
      </c>
      <c r="C31" s="32"/>
      <c r="D31" s="123"/>
      <c r="E31" s="32"/>
      <c r="F31" s="123"/>
      <c r="G31" s="127"/>
      <c r="H31" s="71"/>
      <c r="I31" s="17">
        <f t="shared" si="29"/>
        <v>0</v>
      </c>
      <c r="J31" s="50">
        <f t="shared" si="30"/>
        <v>0</v>
      </c>
      <c r="K31" s="50">
        <f t="shared" si="31"/>
        <v>0</v>
      </c>
      <c r="L31" s="17">
        <f t="shared" si="32"/>
        <v>0</v>
      </c>
      <c r="M31" s="50">
        <f t="shared" si="33"/>
        <v>0</v>
      </c>
      <c r="N31" s="50">
        <f t="shared" si="34"/>
        <v>0</v>
      </c>
      <c r="O31" s="17">
        <f t="shared" si="35"/>
        <v>0</v>
      </c>
      <c r="P31" s="50">
        <f t="shared" si="36"/>
        <v>0</v>
      </c>
      <c r="Q31" s="50">
        <f t="shared" si="37"/>
        <v>0</v>
      </c>
      <c r="R31" s="17">
        <f t="shared" si="38"/>
        <v>0</v>
      </c>
      <c r="S31" s="50">
        <f t="shared" si="39"/>
        <v>0</v>
      </c>
      <c r="T31" s="50">
        <f t="shared" si="40"/>
        <v>0</v>
      </c>
      <c r="U31" s="18">
        <f t="shared" si="41"/>
        <v>0</v>
      </c>
      <c r="W31" s="133"/>
    </row>
    <row r="32" spans="2:23" ht="15" customHeight="1">
      <c r="B32" s="27" t="s">
        <v>17</v>
      </c>
      <c r="C32" s="32"/>
      <c r="D32" s="123"/>
      <c r="E32" s="32"/>
      <c r="F32" s="123"/>
      <c r="G32" s="127"/>
      <c r="H32" s="71"/>
      <c r="I32" s="17">
        <f t="shared" si="29"/>
        <v>0</v>
      </c>
      <c r="J32" s="50">
        <f t="shared" si="30"/>
        <v>0</v>
      </c>
      <c r="K32" s="50">
        <f t="shared" si="31"/>
        <v>0</v>
      </c>
      <c r="L32" s="17">
        <f t="shared" si="32"/>
        <v>0</v>
      </c>
      <c r="M32" s="50">
        <f t="shared" si="33"/>
        <v>0</v>
      </c>
      <c r="N32" s="50">
        <f t="shared" si="34"/>
        <v>0</v>
      </c>
      <c r="O32" s="17">
        <f t="shared" si="35"/>
        <v>0</v>
      </c>
      <c r="P32" s="50">
        <f t="shared" si="36"/>
        <v>0</v>
      </c>
      <c r="Q32" s="50">
        <f t="shared" si="37"/>
        <v>0</v>
      </c>
      <c r="R32" s="17">
        <f t="shared" si="38"/>
        <v>0</v>
      </c>
      <c r="S32" s="50">
        <f t="shared" si="39"/>
        <v>0</v>
      </c>
      <c r="T32" s="50">
        <f t="shared" si="40"/>
        <v>0</v>
      </c>
      <c r="U32" s="18">
        <f t="shared" si="41"/>
        <v>0</v>
      </c>
    </row>
    <row r="33" spans="2:21" ht="15" customHeight="1">
      <c r="B33" s="27" t="s">
        <v>12</v>
      </c>
      <c r="C33" s="32"/>
      <c r="D33" s="123"/>
      <c r="E33" s="32"/>
      <c r="F33" s="123"/>
      <c r="G33" s="127"/>
      <c r="H33" s="71"/>
      <c r="I33" s="17">
        <f t="shared" si="29"/>
        <v>0</v>
      </c>
      <c r="J33" s="50">
        <f t="shared" si="30"/>
        <v>0</v>
      </c>
      <c r="K33" s="50">
        <f t="shared" si="31"/>
        <v>0</v>
      </c>
      <c r="L33" s="17">
        <f t="shared" si="32"/>
        <v>0</v>
      </c>
      <c r="M33" s="50">
        <f t="shared" si="33"/>
        <v>0</v>
      </c>
      <c r="N33" s="50">
        <f t="shared" si="34"/>
        <v>0</v>
      </c>
      <c r="O33" s="17">
        <f t="shared" si="35"/>
        <v>0</v>
      </c>
      <c r="P33" s="50">
        <f t="shared" si="36"/>
        <v>0</v>
      </c>
      <c r="Q33" s="50">
        <f t="shared" si="37"/>
        <v>0</v>
      </c>
      <c r="R33" s="17">
        <f t="shared" si="38"/>
        <v>0</v>
      </c>
      <c r="S33" s="50">
        <f t="shared" si="39"/>
        <v>0</v>
      </c>
      <c r="T33" s="50">
        <f t="shared" si="40"/>
        <v>0</v>
      </c>
      <c r="U33" s="18">
        <f t="shared" si="41"/>
        <v>0</v>
      </c>
    </row>
    <row r="34" spans="2:21" ht="15" customHeight="1">
      <c r="B34" s="27" t="s">
        <v>5</v>
      </c>
      <c r="C34" s="32"/>
      <c r="D34" s="123"/>
      <c r="E34" s="32"/>
      <c r="F34" s="123"/>
      <c r="G34" s="128"/>
      <c r="H34" s="71"/>
      <c r="I34" s="17">
        <f t="shared" si="29"/>
        <v>0</v>
      </c>
      <c r="J34" s="50">
        <f t="shared" si="30"/>
        <v>0</v>
      </c>
      <c r="K34" s="50">
        <f t="shared" si="31"/>
        <v>0</v>
      </c>
      <c r="L34" s="17">
        <f t="shared" si="32"/>
        <v>0</v>
      </c>
      <c r="M34" s="50">
        <f t="shared" si="33"/>
        <v>0</v>
      </c>
      <c r="N34" s="50">
        <f t="shared" si="34"/>
        <v>0</v>
      </c>
      <c r="O34" s="17">
        <f t="shared" si="35"/>
        <v>0</v>
      </c>
      <c r="P34" s="50">
        <f t="shared" si="36"/>
        <v>0</v>
      </c>
      <c r="Q34" s="50">
        <f t="shared" si="37"/>
        <v>0</v>
      </c>
      <c r="R34" s="17">
        <f t="shared" si="38"/>
        <v>0</v>
      </c>
      <c r="S34" s="50">
        <f t="shared" si="39"/>
        <v>0</v>
      </c>
      <c r="T34" s="50">
        <f t="shared" si="40"/>
        <v>0</v>
      </c>
      <c r="U34" s="18">
        <f t="shared" si="41"/>
        <v>0</v>
      </c>
    </row>
    <row r="35" spans="2:21" ht="15" customHeight="1">
      <c r="B35" s="27" t="s">
        <v>6</v>
      </c>
      <c r="C35" s="32"/>
      <c r="D35" s="123"/>
      <c r="E35" s="32"/>
      <c r="F35" s="122"/>
      <c r="G35" s="17"/>
      <c r="H35" s="17"/>
      <c r="I35" s="17">
        <f t="shared" si="29"/>
        <v>0</v>
      </c>
      <c r="J35" s="50"/>
      <c r="K35" s="50"/>
      <c r="L35" s="17">
        <f t="shared" si="32"/>
        <v>0</v>
      </c>
      <c r="M35" s="50"/>
      <c r="N35" s="50"/>
      <c r="O35" s="17">
        <f t="shared" si="35"/>
        <v>0</v>
      </c>
      <c r="P35" s="50"/>
      <c r="Q35" s="50"/>
      <c r="R35" s="17">
        <f t="shared" si="38"/>
        <v>0</v>
      </c>
      <c r="S35" s="50"/>
      <c r="T35" s="50"/>
      <c r="U35" s="18">
        <f t="shared" si="41"/>
        <v>0</v>
      </c>
    </row>
    <row r="36" spans="2:21" ht="15" customHeight="1">
      <c r="B36" s="27" t="s">
        <v>94</v>
      </c>
      <c r="C36" s="32"/>
      <c r="D36" s="123"/>
      <c r="E36" s="32"/>
      <c r="F36" s="124"/>
      <c r="G36" s="125"/>
      <c r="H36" s="46"/>
      <c r="I36" s="17">
        <f t="shared" si="29"/>
        <v>0</v>
      </c>
      <c r="J36" s="50">
        <f t="shared" si="30"/>
        <v>0</v>
      </c>
      <c r="K36" s="50"/>
      <c r="L36" s="17">
        <f t="shared" si="32"/>
        <v>0</v>
      </c>
      <c r="M36" s="50">
        <f t="shared" si="33"/>
        <v>0</v>
      </c>
      <c r="N36" s="50"/>
      <c r="O36" s="17">
        <f t="shared" si="35"/>
        <v>0</v>
      </c>
      <c r="P36" s="50">
        <f t="shared" si="36"/>
        <v>0</v>
      </c>
      <c r="Q36" s="50"/>
      <c r="R36" s="17">
        <f t="shared" si="38"/>
        <v>0</v>
      </c>
      <c r="S36" s="50">
        <f t="shared" si="39"/>
        <v>0</v>
      </c>
      <c r="T36" s="50"/>
      <c r="U36" s="18">
        <f t="shared" si="41"/>
        <v>0</v>
      </c>
    </row>
    <row r="37" spans="2:21" ht="15" customHeight="1">
      <c r="B37" s="27" t="s">
        <v>15</v>
      </c>
      <c r="C37" s="32"/>
      <c r="D37" s="123"/>
      <c r="E37" s="32"/>
      <c r="F37" s="131"/>
      <c r="G37" s="129"/>
      <c r="H37" s="129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>
      <c r="B38" s="27" t="s">
        <v>60</v>
      </c>
      <c r="C38" s="36"/>
      <c r="D38" s="121"/>
      <c r="E38" s="36"/>
      <c r="F38" s="124"/>
      <c r="G38" s="125"/>
      <c r="H38" s="125"/>
      <c r="I38" s="19">
        <f>Import1T($C38,$D38,$E38,$F38)</f>
        <v>0</v>
      </c>
      <c r="J38" s="52">
        <f>CalcIva($G38,$H38,$I38)</f>
        <v>0</v>
      </c>
      <c r="K38" s="52">
        <f>CalcIrpf($G38,$H38,$I38)</f>
        <v>0</v>
      </c>
      <c r="L38" s="19">
        <f>Import2T($C38,$D38,$E38,$F38)</f>
        <v>0</v>
      </c>
      <c r="M38" s="52">
        <f>CalcIva($G38,$H38,$L38)</f>
        <v>0</v>
      </c>
      <c r="N38" s="52">
        <f>CalcIrpf($G38,$H38,$L38)</f>
        <v>0</v>
      </c>
      <c r="O38" s="19">
        <f>Import3T($C38,$D38,$E38,$F38)</f>
        <v>0</v>
      </c>
      <c r="P38" s="52">
        <f>CalcIva($G38,$H38,$O38)</f>
        <v>0</v>
      </c>
      <c r="Q38" s="52">
        <f>CalcIrpf($G38,$H38,$O38)</f>
        <v>0</v>
      </c>
      <c r="R38" s="19">
        <f>Import4T($C38,$D38,$E38,$F38)</f>
        <v>0</v>
      </c>
      <c r="S38" s="52">
        <f>CalcIva($G38,$H38,$R38)</f>
        <v>0</v>
      </c>
      <c r="T38" s="52">
        <f>CalcIrpf($G38,$H38,$R38)</f>
        <v>0</v>
      </c>
      <c r="U38" s="45">
        <f>SUM($I38,$L38,$O38,$R38)</f>
        <v>0</v>
      </c>
    </row>
    <row r="39" spans="2:21" s="109" customFormat="1" ht="15.95" customHeight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42">SUM(J40:J42)</f>
        <v>0</v>
      </c>
      <c r="K39" s="41">
        <f t="shared" si="42"/>
        <v>0</v>
      </c>
      <c r="L39" s="41">
        <f>SUM(L40:L42)</f>
        <v>0</v>
      </c>
      <c r="M39" s="41">
        <f t="shared" ref="M39:N39" si="43">SUM(M40:M42)</f>
        <v>0</v>
      </c>
      <c r="N39" s="41">
        <f t="shared" si="43"/>
        <v>0</v>
      </c>
      <c r="O39" s="41">
        <f>SUM(O40:O42)</f>
        <v>0</v>
      </c>
      <c r="P39" s="41">
        <f t="shared" ref="P39:Q39" si="44">SUM(P40:P42)</f>
        <v>0</v>
      </c>
      <c r="Q39" s="41">
        <f t="shared" si="44"/>
        <v>0</v>
      </c>
      <c r="R39" s="41">
        <f>SUM(R40:R42)</f>
        <v>0</v>
      </c>
      <c r="S39" s="41">
        <f t="shared" ref="S39:T39" si="45">SUM(S40:S42)</f>
        <v>0</v>
      </c>
      <c r="T39" s="41">
        <f t="shared" si="45"/>
        <v>0</v>
      </c>
      <c r="U39" s="48">
        <f>SUM(U40:U42)</f>
        <v>0</v>
      </c>
    </row>
    <row r="40" spans="2:21" ht="15" customHeight="1">
      <c r="B40" s="98"/>
      <c r="C40" s="28"/>
      <c r="D40" s="122"/>
      <c r="E40" s="28"/>
      <c r="F40" s="122"/>
      <c r="G40" s="126"/>
      <c r="H40" s="126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>
      <c r="B41" s="99"/>
      <c r="C41" s="32"/>
      <c r="D41" s="122"/>
      <c r="E41" s="32"/>
      <c r="F41" s="123"/>
      <c r="G41" s="127"/>
      <c r="H41" s="127"/>
      <c r="I41" s="71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>
      <c r="B42" s="100"/>
      <c r="C42" s="36"/>
      <c r="D42" s="124"/>
      <c r="E42" s="22"/>
      <c r="F42" s="124"/>
      <c r="G42" s="125"/>
      <c r="H42" s="125"/>
      <c r="I42" s="46">
        <f>Import1T($C42,$D42,$E42,$F42)</f>
        <v>0</v>
      </c>
      <c r="J42" s="54">
        <f>CalcIva($G42,$H42,$I42)</f>
        <v>0</v>
      </c>
      <c r="K42" s="54">
        <f>CalcIrpf($G42,$H42,$I42)</f>
        <v>0</v>
      </c>
      <c r="L42" s="46">
        <f>Import2T($C42,$D42,$E42,$F42)</f>
        <v>0</v>
      </c>
      <c r="M42" s="54">
        <f>CalcIva($G42,$H42,$L42)</f>
        <v>0</v>
      </c>
      <c r="N42" s="54">
        <f>CalcIrpf($G42,$H42,$L42)</f>
        <v>0</v>
      </c>
      <c r="O42" s="46">
        <f>Import3T($C42,$D42,$E42,$F42)</f>
        <v>0</v>
      </c>
      <c r="P42" s="54">
        <f>CalcIva($G42,$H42,$O42)</f>
        <v>0</v>
      </c>
      <c r="Q42" s="54">
        <f>CalcIrpf($G42,$H42,$O42)</f>
        <v>0</v>
      </c>
      <c r="R42" s="46">
        <f>Import4T($C42,$D42,$E42,$F42)</f>
        <v>0</v>
      </c>
      <c r="S42" s="54">
        <f>CalcIva($G42,$H42,$R42)</f>
        <v>0</v>
      </c>
      <c r="T42" s="54">
        <f>CalcIrpf($G42,$H42,$R42)</f>
        <v>0</v>
      </c>
      <c r="U42" s="47">
        <f>SUM($I42,$L42,$O42,$R42)</f>
        <v>0</v>
      </c>
    </row>
    <row r="43" spans="2:21" ht="15.95" customHeight="1">
      <c r="B43" s="43" t="s">
        <v>85</v>
      </c>
      <c r="C43" s="41">
        <f>SUM(C44:C48)</f>
        <v>0</v>
      </c>
      <c r="D43" s="41"/>
      <c r="E43" s="41">
        <f>SUM(E44:E48)</f>
        <v>0</v>
      </c>
      <c r="F43" s="41"/>
      <c r="G43" s="41"/>
      <c r="H43" s="41"/>
      <c r="I43" s="41">
        <f t="shared" ref="I43:T43" si="46">SUM(I44:I48)</f>
        <v>0</v>
      </c>
      <c r="J43" s="41">
        <f t="shared" si="46"/>
        <v>0</v>
      </c>
      <c r="K43" s="41">
        <f t="shared" si="46"/>
        <v>0</v>
      </c>
      <c r="L43" s="41">
        <f t="shared" si="46"/>
        <v>0</v>
      </c>
      <c r="M43" s="41">
        <f t="shared" si="46"/>
        <v>0</v>
      </c>
      <c r="N43" s="41">
        <f t="shared" si="46"/>
        <v>0</v>
      </c>
      <c r="O43" s="41">
        <f t="shared" si="46"/>
        <v>0</v>
      </c>
      <c r="P43" s="41">
        <f t="shared" si="46"/>
        <v>0</v>
      </c>
      <c r="Q43" s="41">
        <f t="shared" si="46"/>
        <v>0</v>
      </c>
      <c r="R43" s="41">
        <f t="shared" si="46"/>
        <v>0</v>
      </c>
      <c r="S43" s="41">
        <f t="shared" si="46"/>
        <v>0</v>
      </c>
      <c r="T43" s="41">
        <f t="shared" si="46"/>
        <v>0</v>
      </c>
      <c r="U43" s="48">
        <f>SUM(U44:U50)</f>
        <v>0</v>
      </c>
    </row>
    <row r="44" spans="2:21" ht="15" customHeight="1">
      <c r="B44" s="44" t="s">
        <v>115</v>
      </c>
      <c r="C44" s="28"/>
      <c r="D44" s="122"/>
      <c r="E44" s="28"/>
      <c r="F44" s="122"/>
      <c r="G44" s="17"/>
      <c r="H44" s="17"/>
      <c r="I44" s="17">
        <f>Import1T($C44,$D44,$E44,$F44)</f>
        <v>0</v>
      </c>
      <c r="J44" s="50"/>
      <c r="K44" s="50"/>
      <c r="L44" s="17">
        <f t="shared" ref="L44:L50" si="47">Import2T($C44,$D44,$E44,$F44)</f>
        <v>0</v>
      </c>
      <c r="M44" s="50"/>
      <c r="N44" s="50"/>
      <c r="O44" s="17">
        <f t="shared" ref="O44:O50" si="48">Import3T($C44,$D44,$E44,$F44)</f>
        <v>0</v>
      </c>
      <c r="P44" s="50"/>
      <c r="Q44" s="50"/>
      <c r="R44" s="17">
        <f t="shared" ref="R44:R50" si="49">Import4T($C44,$D44,$E44,$F44)</f>
        <v>0</v>
      </c>
      <c r="S44" s="50"/>
      <c r="T44" s="50"/>
      <c r="U44" s="18">
        <f t="shared" ref="U44:U50" si="50">SUM($I44,$L44,$O44,$R44)</f>
        <v>0</v>
      </c>
    </row>
    <row r="45" spans="2:21" ht="15" customHeight="1">
      <c r="B45" s="44" t="s">
        <v>119</v>
      </c>
      <c r="C45" s="28"/>
      <c r="D45" s="122"/>
      <c r="E45" s="28"/>
      <c r="F45" s="122"/>
      <c r="G45" s="17"/>
      <c r="H45" s="125"/>
      <c r="I45" s="17"/>
      <c r="J45" s="50"/>
      <c r="K45" s="50"/>
      <c r="L45" s="17"/>
      <c r="M45" s="50"/>
      <c r="N45" s="50"/>
      <c r="O45" s="17"/>
      <c r="P45" s="50"/>
      <c r="Q45" s="50"/>
      <c r="R45" s="17"/>
      <c r="S45" s="50"/>
      <c r="T45" s="50"/>
      <c r="U45" s="18"/>
    </row>
    <row r="46" spans="2:21" ht="15" customHeight="1">
      <c r="B46" s="27" t="s">
        <v>97</v>
      </c>
      <c r="C46" s="32"/>
      <c r="D46" s="122"/>
      <c r="E46" s="32"/>
      <c r="F46" s="122"/>
      <c r="G46" s="17"/>
      <c r="H46" s="49"/>
      <c r="I46" s="71">
        <f t="shared" ref="I46:I50" si="51">Import1T($C46,$D46,$E46,$F46)</f>
        <v>0</v>
      </c>
      <c r="J46" s="50"/>
      <c r="K46" s="50"/>
      <c r="L46" s="17">
        <f t="shared" si="47"/>
        <v>0</v>
      </c>
      <c r="M46" s="50"/>
      <c r="N46" s="50"/>
      <c r="O46" s="17">
        <f t="shared" si="48"/>
        <v>0</v>
      </c>
      <c r="P46" s="50"/>
      <c r="Q46" s="50"/>
      <c r="R46" s="17">
        <f t="shared" si="49"/>
        <v>0</v>
      </c>
      <c r="S46" s="50"/>
      <c r="T46" s="50"/>
      <c r="U46" s="18">
        <f t="shared" si="50"/>
        <v>0</v>
      </c>
    </row>
    <row r="47" spans="2:21" ht="15" customHeight="1">
      <c r="B47" s="27" t="s">
        <v>87</v>
      </c>
      <c r="C47" s="32"/>
      <c r="D47" s="122"/>
      <c r="E47" s="32"/>
      <c r="F47" s="122"/>
      <c r="G47" s="129"/>
      <c r="H47" s="46"/>
      <c r="I47" s="71">
        <f t="shared" si="51"/>
        <v>0</v>
      </c>
      <c r="J47" s="50">
        <f>CalcIva($G47,$H47,$I47)</f>
        <v>0</v>
      </c>
      <c r="K47" s="50"/>
      <c r="L47" s="17">
        <f t="shared" si="47"/>
        <v>0</v>
      </c>
      <c r="M47" s="50">
        <f>CalcIva($G47,$H47,$L47)</f>
        <v>0</v>
      </c>
      <c r="N47" s="50"/>
      <c r="O47" s="17">
        <f t="shared" si="48"/>
        <v>0</v>
      </c>
      <c r="P47" s="50">
        <f>CalcIva($G47,$H47,$O47)</f>
        <v>0</v>
      </c>
      <c r="Q47" s="50"/>
      <c r="R47" s="17">
        <f t="shared" si="49"/>
        <v>0</v>
      </c>
      <c r="S47" s="50">
        <f>CalcIva($G47,$H47,$R47)</f>
        <v>0</v>
      </c>
      <c r="T47" s="50"/>
      <c r="U47" s="18">
        <f t="shared" si="50"/>
        <v>0</v>
      </c>
    </row>
    <row r="48" spans="2:21" ht="15" customHeight="1">
      <c r="B48" s="27" t="s">
        <v>86</v>
      </c>
      <c r="C48" s="36"/>
      <c r="D48" s="122"/>
      <c r="E48" s="36"/>
      <c r="F48" s="124"/>
      <c r="G48" s="130"/>
      <c r="H48" s="19"/>
      <c r="I48" s="19">
        <f t="shared" si="51"/>
        <v>0</v>
      </c>
      <c r="J48" s="52">
        <f>CalcIva($G48,$H48,$I48)</f>
        <v>0</v>
      </c>
      <c r="K48" s="52"/>
      <c r="L48" s="19">
        <f t="shared" si="47"/>
        <v>0</v>
      </c>
      <c r="M48" s="52">
        <f>CalcIva($G48,$H48,$L48)</f>
        <v>0</v>
      </c>
      <c r="N48" s="52"/>
      <c r="O48" s="19">
        <f t="shared" si="48"/>
        <v>0</v>
      </c>
      <c r="P48" s="52">
        <f>CalcIva($G48,$H48,$O48)</f>
        <v>0</v>
      </c>
      <c r="Q48" s="52"/>
      <c r="R48" s="19">
        <f t="shared" si="49"/>
        <v>0</v>
      </c>
      <c r="S48" s="52">
        <f>CalcIva($G48,$H48,$R48)</f>
        <v>0</v>
      </c>
      <c r="T48" s="52"/>
      <c r="U48" s="45">
        <f t="shared" si="50"/>
        <v>0</v>
      </c>
    </row>
    <row r="49" spans="2:21" ht="15" customHeight="1">
      <c r="B49" s="27" t="s">
        <v>116</v>
      </c>
      <c r="C49" s="36"/>
      <c r="D49" s="122"/>
      <c r="E49" s="36"/>
      <c r="F49" s="123"/>
      <c r="G49" s="127"/>
      <c r="H49" s="127"/>
      <c r="I49" s="19">
        <f t="shared" si="51"/>
        <v>0</v>
      </c>
      <c r="J49" s="52">
        <f t="shared" ref="J49:J50" si="52">CalcIva($G49,$H49,$I49)</f>
        <v>0</v>
      </c>
      <c r="K49" s="52"/>
      <c r="L49" s="19">
        <f t="shared" si="47"/>
        <v>0</v>
      </c>
      <c r="M49" s="52">
        <f t="shared" ref="M49:M50" si="53">CalcIva($G49,$H49,$L49)</f>
        <v>0</v>
      </c>
      <c r="N49" s="52"/>
      <c r="O49" s="19">
        <f t="shared" si="48"/>
        <v>0</v>
      </c>
      <c r="P49" s="52">
        <f t="shared" ref="P49:P50" si="54">CalcIva($G49,$H49,$O49)</f>
        <v>0</v>
      </c>
      <c r="Q49" s="52"/>
      <c r="R49" s="19">
        <f t="shared" si="49"/>
        <v>0</v>
      </c>
      <c r="S49" s="52">
        <f t="shared" ref="S49:S50" si="55">CalcIva($G49,$H49,$R49)</f>
        <v>0</v>
      </c>
      <c r="T49" s="52"/>
      <c r="U49" s="45">
        <f t="shared" si="50"/>
        <v>0</v>
      </c>
    </row>
    <row r="50" spans="2:21" ht="15" customHeight="1">
      <c r="B50" s="100"/>
      <c r="C50" s="36"/>
      <c r="D50" s="121"/>
      <c r="E50" s="36"/>
      <c r="F50" s="121"/>
      <c r="G50" s="128"/>
      <c r="H50" s="128"/>
      <c r="I50" s="19">
        <f t="shared" si="51"/>
        <v>0</v>
      </c>
      <c r="J50" s="52">
        <f t="shared" si="52"/>
        <v>0</v>
      </c>
      <c r="K50" s="52"/>
      <c r="L50" s="19">
        <f t="shared" si="47"/>
        <v>0</v>
      </c>
      <c r="M50" s="52">
        <f t="shared" si="53"/>
        <v>0</v>
      </c>
      <c r="N50" s="52"/>
      <c r="O50" s="19">
        <f t="shared" si="48"/>
        <v>0</v>
      </c>
      <c r="P50" s="52">
        <f t="shared" si="54"/>
        <v>0</v>
      </c>
      <c r="Q50" s="52"/>
      <c r="R50" s="19">
        <f t="shared" si="49"/>
        <v>0</v>
      </c>
      <c r="S50" s="52">
        <f t="shared" si="55"/>
        <v>0</v>
      </c>
      <c r="T50" s="52"/>
      <c r="U50" s="45">
        <f t="shared" si="50"/>
        <v>0</v>
      </c>
    </row>
    <row r="51" spans="2:21" ht="24" customHeight="1">
      <c r="B51" s="43" t="s">
        <v>29</v>
      </c>
      <c r="C51" s="41">
        <f>SUM(C8,C14,C16,C19,C26,C39,C43)</f>
        <v>0</v>
      </c>
      <c r="D51" s="41"/>
      <c r="E51" s="41">
        <f>SUM(E8,E14,E16,E19,E26,E39,E43)</f>
        <v>0</v>
      </c>
      <c r="F51" s="41"/>
      <c r="G51" s="41"/>
      <c r="H51" s="41"/>
      <c r="I51" s="41">
        <f t="shared" ref="I51:T51" si="56">SUM(I8,I14,I16,I19,I26,I39,I43)</f>
        <v>0</v>
      </c>
      <c r="J51" s="41">
        <f t="shared" si="56"/>
        <v>0</v>
      </c>
      <c r="K51" s="41">
        <f t="shared" si="56"/>
        <v>0</v>
      </c>
      <c r="L51" s="41">
        <f t="shared" si="56"/>
        <v>0</v>
      </c>
      <c r="M51" s="41">
        <f t="shared" si="56"/>
        <v>0</v>
      </c>
      <c r="N51" s="41">
        <f t="shared" si="56"/>
        <v>0</v>
      </c>
      <c r="O51" s="41">
        <f t="shared" si="56"/>
        <v>0</v>
      </c>
      <c r="P51" s="41">
        <f t="shared" si="56"/>
        <v>0</v>
      </c>
      <c r="Q51" s="41">
        <f t="shared" si="56"/>
        <v>0</v>
      </c>
      <c r="R51" s="41">
        <f t="shared" si="56"/>
        <v>0</v>
      </c>
      <c r="S51" s="41">
        <f t="shared" si="56"/>
        <v>0</v>
      </c>
      <c r="T51" s="41">
        <f t="shared" si="56"/>
        <v>0</v>
      </c>
      <c r="U51" s="48">
        <f>SUM(U8,U14,U16,U19,U26,U43,U39)</f>
        <v>0</v>
      </c>
    </row>
    <row r="52" spans="2:21" ht="16.5" customHeight="1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spans="2:21" ht="27" customHeight="1">
      <c r="B53" s="138" t="s">
        <v>30</v>
      </c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</row>
    <row r="54" spans="2:21" ht="15" customHeight="1">
      <c r="B54" s="101" t="s">
        <v>103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3"/>
    </row>
    <row r="55" spans="2:21" ht="15.95" customHeight="1">
      <c r="B55" s="43" t="s">
        <v>107</v>
      </c>
      <c r="C55" s="41">
        <f>SUM(C56:C60)</f>
        <v>0</v>
      </c>
      <c r="D55" s="41"/>
      <c r="E55" s="41">
        <f>SUM(E56:E60)</f>
        <v>0</v>
      </c>
      <c r="F55" s="41"/>
      <c r="G55" s="41"/>
      <c r="H55" s="41"/>
      <c r="I55" s="41">
        <f>SUM(I56:I60)</f>
        <v>0</v>
      </c>
      <c r="J55" s="41">
        <f t="shared" ref="J55:K55" si="57">SUM(J56:J60)</f>
        <v>0</v>
      </c>
      <c r="K55" s="41">
        <f t="shared" si="57"/>
        <v>0</v>
      </c>
      <c r="L55" s="41">
        <f>SUM(L56:L60)</f>
        <v>0</v>
      </c>
      <c r="M55" s="41">
        <f t="shared" ref="M55:N55" si="58">SUM(M56:M60)</f>
        <v>0</v>
      </c>
      <c r="N55" s="41">
        <f t="shared" si="58"/>
        <v>0</v>
      </c>
      <c r="O55" s="41">
        <f>SUM(O56:O60)</f>
        <v>0</v>
      </c>
      <c r="P55" s="41">
        <f t="shared" ref="P55:Q55" si="59">SUM(P56:P60)</f>
        <v>0</v>
      </c>
      <c r="Q55" s="41">
        <f t="shared" si="59"/>
        <v>0</v>
      </c>
      <c r="R55" s="41">
        <f>SUM(R56:R60)</f>
        <v>0</v>
      </c>
      <c r="S55" s="41">
        <f t="shared" ref="S55:T55" si="60">SUM(S56:S60)</f>
        <v>0</v>
      </c>
      <c r="T55" s="41">
        <f t="shared" si="60"/>
        <v>0</v>
      </c>
      <c r="U55" s="48">
        <f>SUM(U56:U60)</f>
        <v>0</v>
      </c>
    </row>
    <row r="56" spans="2:21" ht="15" customHeight="1">
      <c r="B56" s="98" t="s">
        <v>72</v>
      </c>
      <c r="C56" s="28"/>
      <c r="D56" s="122"/>
      <c r="E56" s="28"/>
      <c r="F56" s="122"/>
      <c r="G56" s="126"/>
      <c r="H56" s="17"/>
      <c r="I56" s="17">
        <f t="shared" ref="I56:I60" si="61">Import1T($C56,$D56,$E56,$F56)</f>
        <v>0</v>
      </c>
      <c r="J56" s="50">
        <f t="shared" ref="J56:J60" si="62">CalcIva($G56,$H56,$I56)</f>
        <v>0</v>
      </c>
      <c r="K56" s="50"/>
      <c r="L56" s="17">
        <f t="shared" ref="L56:L60" si="63">Import2T($C56,$D56,$E56,$F56)</f>
        <v>0</v>
      </c>
      <c r="M56" s="50">
        <f t="shared" ref="M56:M60" si="64">CalcIva($G56,$H56,$L56)</f>
        <v>0</v>
      </c>
      <c r="N56" s="50"/>
      <c r="O56" s="17">
        <f t="shared" ref="O56:O60" si="65">Import3T($C56,$D56,$E56,$F56)</f>
        <v>0</v>
      </c>
      <c r="P56" s="50">
        <f t="shared" ref="P56:P60" si="66">CalcIva($G56,$H56,$O56)</f>
        <v>0</v>
      </c>
      <c r="Q56" s="50"/>
      <c r="R56" s="17">
        <f t="shared" ref="R56:R60" si="67">Import4T($C56,$D56,$E56,$F56)</f>
        <v>0</v>
      </c>
      <c r="S56" s="50">
        <f t="shared" ref="S56:S60" si="68">CalcIva($G56,$H56,$R56)</f>
        <v>0</v>
      </c>
      <c r="T56" s="50"/>
      <c r="U56" s="18">
        <f t="shared" ref="U56:U60" si="69">SUM($I56,$L56,$O56,$R56)</f>
        <v>0</v>
      </c>
    </row>
    <row r="57" spans="2:21" ht="15" customHeight="1">
      <c r="B57" s="100" t="s">
        <v>73</v>
      </c>
      <c r="C57" s="32"/>
      <c r="D57" s="122"/>
      <c r="E57" s="32"/>
      <c r="F57" s="123"/>
      <c r="G57" s="127"/>
      <c r="H57" s="17"/>
      <c r="I57" s="17">
        <f t="shared" si="61"/>
        <v>0</v>
      </c>
      <c r="J57" s="50">
        <f t="shared" si="62"/>
        <v>0</v>
      </c>
      <c r="K57" s="50"/>
      <c r="L57" s="17">
        <f t="shared" si="63"/>
        <v>0</v>
      </c>
      <c r="M57" s="50">
        <f t="shared" si="64"/>
        <v>0</v>
      </c>
      <c r="N57" s="50"/>
      <c r="O57" s="17">
        <f t="shared" si="65"/>
        <v>0</v>
      </c>
      <c r="P57" s="50">
        <f t="shared" si="66"/>
        <v>0</v>
      </c>
      <c r="Q57" s="50"/>
      <c r="R57" s="17">
        <f t="shared" si="67"/>
        <v>0</v>
      </c>
      <c r="S57" s="50">
        <f t="shared" si="68"/>
        <v>0</v>
      </c>
      <c r="T57" s="50"/>
      <c r="U57" s="18">
        <f t="shared" si="69"/>
        <v>0</v>
      </c>
    </row>
    <row r="58" spans="2:21" ht="15" customHeight="1">
      <c r="B58" s="100" t="s">
        <v>74</v>
      </c>
      <c r="C58" s="32"/>
      <c r="D58" s="122"/>
      <c r="E58" s="32"/>
      <c r="F58" s="123"/>
      <c r="G58" s="127"/>
      <c r="H58" s="17"/>
      <c r="I58" s="17">
        <f t="shared" si="61"/>
        <v>0</v>
      </c>
      <c r="J58" s="50">
        <f t="shared" si="62"/>
        <v>0</v>
      </c>
      <c r="K58" s="50"/>
      <c r="L58" s="17">
        <f t="shared" si="63"/>
        <v>0</v>
      </c>
      <c r="M58" s="50">
        <f t="shared" si="64"/>
        <v>0</v>
      </c>
      <c r="N58" s="50"/>
      <c r="O58" s="17">
        <f t="shared" si="65"/>
        <v>0</v>
      </c>
      <c r="P58" s="50">
        <f t="shared" si="66"/>
        <v>0</v>
      </c>
      <c r="Q58" s="50"/>
      <c r="R58" s="17">
        <f t="shared" si="67"/>
        <v>0</v>
      </c>
      <c r="S58" s="50">
        <f t="shared" si="68"/>
        <v>0</v>
      </c>
      <c r="T58" s="50"/>
      <c r="U58" s="18">
        <f t="shared" si="69"/>
        <v>0</v>
      </c>
    </row>
    <row r="59" spans="2:21" ht="15" customHeight="1">
      <c r="B59" s="100" t="s">
        <v>76</v>
      </c>
      <c r="C59" s="32"/>
      <c r="D59" s="122"/>
      <c r="E59" s="32"/>
      <c r="F59" s="123"/>
      <c r="G59" s="127"/>
      <c r="H59" s="17"/>
      <c r="I59" s="17">
        <f t="shared" si="61"/>
        <v>0</v>
      </c>
      <c r="J59" s="50">
        <f t="shared" si="62"/>
        <v>0</v>
      </c>
      <c r="K59" s="50"/>
      <c r="L59" s="17">
        <f t="shared" si="63"/>
        <v>0</v>
      </c>
      <c r="M59" s="50">
        <f t="shared" si="64"/>
        <v>0</v>
      </c>
      <c r="N59" s="50"/>
      <c r="O59" s="17">
        <f t="shared" si="65"/>
        <v>0</v>
      </c>
      <c r="P59" s="50">
        <f t="shared" si="66"/>
        <v>0</v>
      </c>
      <c r="Q59" s="50"/>
      <c r="R59" s="17">
        <f t="shared" si="67"/>
        <v>0</v>
      </c>
      <c r="S59" s="50">
        <f t="shared" si="68"/>
        <v>0</v>
      </c>
      <c r="T59" s="50"/>
      <c r="U59" s="18">
        <f t="shared" si="69"/>
        <v>0</v>
      </c>
    </row>
    <row r="60" spans="2:21" ht="15" customHeight="1">
      <c r="B60" s="100" t="s">
        <v>77</v>
      </c>
      <c r="C60" s="36"/>
      <c r="D60" s="121"/>
      <c r="E60" s="36"/>
      <c r="F60" s="121"/>
      <c r="G60" s="128"/>
      <c r="H60" s="19"/>
      <c r="I60" s="19">
        <f t="shared" si="61"/>
        <v>0</v>
      </c>
      <c r="J60" s="54">
        <f t="shared" si="62"/>
        <v>0</v>
      </c>
      <c r="K60" s="54"/>
      <c r="L60" s="46">
        <f t="shared" si="63"/>
        <v>0</v>
      </c>
      <c r="M60" s="54">
        <f t="shared" si="64"/>
        <v>0</v>
      </c>
      <c r="N60" s="54"/>
      <c r="O60" s="46">
        <f t="shared" si="65"/>
        <v>0</v>
      </c>
      <c r="P60" s="54">
        <f t="shared" si="66"/>
        <v>0</v>
      </c>
      <c r="Q60" s="54"/>
      <c r="R60" s="46">
        <f t="shared" si="67"/>
        <v>0</v>
      </c>
      <c r="S60" s="54">
        <f t="shared" si="68"/>
        <v>0</v>
      </c>
      <c r="T60" s="54"/>
      <c r="U60" s="47">
        <f t="shared" si="69"/>
        <v>0</v>
      </c>
    </row>
    <row r="61" spans="2:21" ht="15.95" customHeight="1">
      <c r="B61" s="43" t="s">
        <v>108</v>
      </c>
      <c r="C61" s="41">
        <f>SUM(C62:C63)</f>
        <v>0</v>
      </c>
      <c r="D61" s="41"/>
      <c r="E61" s="41">
        <f>SUM(E62:E63)</f>
        <v>0</v>
      </c>
      <c r="F61" s="41"/>
      <c r="G61" s="41"/>
      <c r="H61" s="41"/>
      <c r="I61" s="41">
        <f>SUM(I62:I63)</f>
        <v>0</v>
      </c>
      <c r="J61" s="41">
        <f t="shared" ref="J61:U61" si="70">SUM(J62:J63)</f>
        <v>0</v>
      </c>
      <c r="K61" s="41">
        <f t="shared" si="70"/>
        <v>0</v>
      </c>
      <c r="L61" s="41">
        <f t="shared" si="70"/>
        <v>0</v>
      </c>
      <c r="M61" s="41">
        <f t="shared" si="70"/>
        <v>0</v>
      </c>
      <c r="N61" s="41">
        <f t="shared" si="70"/>
        <v>0</v>
      </c>
      <c r="O61" s="41">
        <f t="shared" si="70"/>
        <v>0</v>
      </c>
      <c r="P61" s="41">
        <f t="shared" si="70"/>
        <v>0</v>
      </c>
      <c r="Q61" s="41">
        <f t="shared" si="70"/>
        <v>0</v>
      </c>
      <c r="R61" s="41">
        <f t="shared" si="70"/>
        <v>0</v>
      </c>
      <c r="S61" s="41">
        <f t="shared" si="70"/>
        <v>0</v>
      </c>
      <c r="T61" s="41">
        <f t="shared" si="70"/>
        <v>0</v>
      </c>
      <c r="U61" s="48">
        <f t="shared" si="70"/>
        <v>0</v>
      </c>
    </row>
    <row r="62" spans="2:21" ht="15" customHeight="1">
      <c r="B62" s="98" t="s">
        <v>75</v>
      </c>
      <c r="C62" s="28"/>
      <c r="D62" s="122"/>
      <c r="E62" s="28"/>
      <c r="F62" s="122"/>
      <c r="G62" s="126"/>
      <c r="H62" s="17"/>
      <c r="I62" s="17">
        <f>Import1T($C62,$D62,$E62,$F62)</f>
        <v>0</v>
      </c>
      <c r="J62" s="50">
        <f>CalcIva($G62,$H62,$I62)</f>
        <v>0</v>
      </c>
      <c r="K62" s="50"/>
      <c r="L62" s="17">
        <f>Import2T($C62,$D62,$E62,$F62)</f>
        <v>0</v>
      </c>
      <c r="M62" s="50">
        <f>CalcIva($G62,$H62,$L62)</f>
        <v>0</v>
      </c>
      <c r="N62" s="50"/>
      <c r="O62" s="17">
        <f>Import3T($C62,$D62,$E62,$F62)</f>
        <v>0</v>
      </c>
      <c r="P62" s="50">
        <f>CalcIva($G62,$H62,$O62)</f>
        <v>0</v>
      </c>
      <c r="Q62" s="50"/>
      <c r="R62" s="17">
        <f>Import4T($C62,$D62,$E62,$F62)</f>
        <v>0</v>
      </c>
      <c r="S62" s="50">
        <f>CalcIva($G62,$H62,$R62)</f>
        <v>0</v>
      </c>
      <c r="T62" s="50"/>
      <c r="U62" s="18">
        <f>SUM($I62,$L62,$O62,$R62)</f>
        <v>0</v>
      </c>
    </row>
    <row r="63" spans="2:21" ht="15" customHeight="1">
      <c r="B63" s="100" t="s">
        <v>75</v>
      </c>
      <c r="C63" s="36"/>
      <c r="D63" s="121"/>
      <c r="E63" s="36"/>
      <c r="F63" s="121"/>
      <c r="G63" s="128"/>
      <c r="H63" s="19"/>
      <c r="I63" s="19">
        <f>Import1T($C63,$D63,$E63,$F63)</f>
        <v>0</v>
      </c>
      <c r="J63" s="52">
        <f>CalcIva($G63,$H63,$I63)</f>
        <v>0</v>
      </c>
      <c r="K63" s="52"/>
      <c r="L63" s="19">
        <f>Import2T($C63,$D63,$E63,$F63)</f>
        <v>0</v>
      </c>
      <c r="M63" s="52">
        <f>CalcIva($G63,$H63,$L63)</f>
        <v>0</v>
      </c>
      <c r="N63" s="52"/>
      <c r="O63" s="19">
        <f>Import3T($C63,$D63,$E63,$F63)</f>
        <v>0</v>
      </c>
      <c r="P63" s="52">
        <f>CalcIva($G63,$H63,$O63)</f>
        <v>0</v>
      </c>
      <c r="Q63" s="52"/>
      <c r="R63" s="19">
        <f>Import4T($C63,$D63,$E63,$F63)</f>
        <v>0</v>
      </c>
      <c r="S63" s="52">
        <f>CalcIva($G63,$H63,$R63)</f>
        <v>0</v>
      </c>
      <c r="T63" s="52"/>
      <c r="U63" s="45">
        <f>SUM($I63,$L63,$O63,$R63)</f>
        <v>0</v>
      </c>
    </row>
    <row r="64" spans="2:21" ht="15.95" customHeight="1">
      <c r="B64" s="43" t="s">
        <v>109</v>
      </c>
      <c r="C64" s="41">
        <f>SUM(C65:C68)</f>
        <v>0</v>
      </c>
      <c r="D64" s="41"/>
      <c r="E64" s="41">
        <f>SUM(E65:E68)</f>
        <v>0</v>
      </c>
      <c r="F64" s="41"/>
      <c r="G64" s="41"/>
      <c r="H64" s="41"/>
      <c r="I64" s="41">
        <f>SUM(I65:I68)</f>
        <v>0</v>
      </c>
      <c r="J64" s="41">
        <f t="shared" ref="J64:Q64" si="71">SUM(J65:J68)</f>
        <v>0</v>
      </c>
      <c r="K64" s="41">
        <f t="shared" si="71"/>
        <v>0</v>
      </c>
      <c r="L64" s="41">
        <f t="shared" si="71"/>
        <v>0</v>
      </c>
      <c r="M64" s="41">
        <f t="shared" si="71"/>
        <v>0</v>
      </c>
      <c r="N64" s="41">
        <f t="shared" si="71"/>
        <v>0</v>
      </c>
      <c r="O64" s="41">
        <f t="shared" si="71"/>
        <v>0</v>
      </c>
      <c r="P64" s="41">
        <f t="shared" si="71"/>
        <v>0</v>
      </c>
      <c r="Q64" s="41">
        <f t="shared" si="71"/>
        <v>0</v>
      </c>
      <c r="R64" s="41">
        <f>SUM(R65:R68)</f>
        <v>0</v>
      </c>
      <c r="S64" s="41">
        <f t="shared" ref="S64:T64" si="72">SUM(S65:S68)</f>
        <v>0</v>
      </c>
      <c r="T64" s="41">
        <f t="shared" si="72"/>
        <v>0</v>
      </c>
      <c r="U64" s="48">
        <f>SUM(U65:U68)</f>
        <v>0</v>
      </c>
    </row>
    <row r="65" spans="2:24" ht="15" customHeight="1">
      <c r="B65" s="98" t="s">
        <v>75</v>
      </c>
      <c r="C65" s="28"/>
      <c r="D65" s="122"/>
      <c r="E65" s="28"/>
      <c r="F65" s="122"/>
      <c r="G65" s="126"/>
      <c r="H65" s="126"/>
      <c r="I65" s="17">
        <f t="shared" ref="I65:I71" si="73">Import1T($C65,$D65,$E65,$F65)</f>
        <v>0</v>
      </c>
      <c r="J65" s="50">
        <f t="shared" ref="J65:J68" si="74">CalcIva($G65,$H65,$I65)</f>
        <v>0</v>
      </c>
      <c r="K65" s="50">
        <f t="shared" ref="K65:K68" si="75">CalcIrpf($G65,$H65,$I65)</f>
        <v>0</v>
      </c>
      <c r="L65" s="17">
        <f t="shared" ref="L65:L71" si="76">Import2T($C65,$D65,$E65,$F65)</f>
        <v>0</v>
      </c>
      <c r="M65" s="50">
        <f t="shared" ref="M65:M68" si="77">CalcIva($G65,$H65,$L65)</f>
        <v>0</v>
      </c>
      <c r="N65" s="50">
        <f t="shared" ref="N65:N68" si="78">CalcIrpf($G65,$H65,$L65)</f>
        <v>0</v>
      </c>
      <c r="O65" s="17">
        <f t="shared" ref="O65:O71" si="79">Import3T($C65,$D65,$E65,$F65)</f>
        <v>0</v>
      </c>
      <c r="P65" s="50">
        <f t="shared" ref="P65:P68" si="80">CalcIva($G65,$H65,$O65)</f>
        <v>0</v>
      </c>
      <c r="Q65" s="50">
        <f t="shared" ref="Q65:Q68" si="81">CalcIrpf($G65,$H65,$O65)</f>
        <v>0</v>
      </c>
      <c r="R65" s="17">
        <f t="shared" ref="R65:R71" si="82">Import4T($C65,$D65,$E65,$F65)</f>
        <v>0</v>
      </c>
      <c r="S65" s="50">
        <f t="shared" ref="S65:S68" si="83">CalcIva($G65,$H65,$R65)</f>
        <v>0</v>
      </c>
      <c r="T65" s="50">
        <f t="shared" ref="T65:T68" si="84">CalcIrpf($G65,$H65,$R65)</f>
        <v>0</v>
      </c>
      <c r="U65" s="18">
        <f t="shared" ref="U65:U71" si="85">SUM($I65,$L65,$O65,$R65)</f>
        <v>0</v>
      </c>
    </row>
    <row r="66" spans="2:24" ht="15" customHeight="1">
      <c r="B66" s="100" t="s">
        <v>75</v>
      </c>
      <c r="C66" s="28"/>
      <c r="D66" s="122"/>
      <c r="E66" s="32"/>
      <c r="F66" s="123"/>
      <c r="G66" s="127"/>
      <c r="H66" s="127"/>
      <c r="I66" s="17">
        <f t="shared" si="73"/>
        <v>0</v>
      </c>
      <c r="J66" s="50">
        <f t="shared" si="74"/>
        <v>0</v>
      </c>
      <c r="K66" s="50">
        <f t="shared" si="75"/>
        <v>0</v>
      </c>
      <c r="L66" s="17">
        <f t="shared" si="76"/>
        <v>0</v>
      </c>
      <c r="M66" s="50">
        <f t="shared" si="77"/>
        <v>0</v>
      </c>
      <c r="N66" s="50">
        <f t="shared" si="78"/>
        <v>0</v>
      </c>
      <c r="O66" s="17">
        <f t="shared" si="79"/>
        <v>0</v>
      </c>
      <c r="P66" s="50">
        <f t="shared" si="80"/>
        <v>0</v>
      </c>
      <c r="Q66" s="50">
        <f t="shared" si="81"/>
        <v>0</v>
      </c>
      <c r="R66" s="17">
        <f t="shared" si="82"/>
        <v>0</v>
      </c>
      <c r="S66" s="50">
        <f t="shared" si="83"/>
        <v>0</v>
      </c>
      <c r="T66" s="50">
        <f t="shared" si="84"/>
        <v>0</v>
      </c>
      <c r="U66" s="18">
        <f t="shared" si="85"/>
        <v>0</v>
      </c>
    </row>
    <row r="67" spans="2:24" ht="15" customHeight="1">
      <c r="B67" s="100" t="s">
        <v>75</v>
      </c>
      <c r="C67" s="28"/>
      <c r="D67" s="122"/>
      <c r="E67" s="32"/>
      <c r="F67" s="123"/>
      <c r="G67" s="127"/>
      <c r="H67" s="127"/>
      <c r="I67" s="17">
        <f t="shared" si="73"/>
        <v>0</v>
      </c>
      <c r="J67" s="50">
        <f t="shared" si="74"/>
        <v>0</v>
      </c>
      <c r="K67" s="50">
        <f t="shared" si="75"/>
        <v>0</v>
      </c>
      <c r="L67" s="17">
        <f t="shared" si="76"/>
        <v>0</v>
      </c>
      <c r="M67" s="50">
        <f t="shared" si="77"/>
        <v>0</v>
      </c>
      <c r="N67" s="50">
        <f t="shared" si="78"/>
        <v>0</v>
      </c>
      <c r="O67" s="17">
        <f t="shared" si="79"/>
        <v>0</v>
      </c>
      <c r="P67" s="50">
        <f t="shared" si="80"/>
        <v>0</v>
      </c>
      <c r="Q67" s="50">
        <f t="shared" si="81"/>
        <v>0</v>
      </c>
      <c r="R67" s="17">
        <f t="shared" si="82"/>
        <v>0</v>
      </c>
      <c r="S67" s="50">
        <f t="shared" si="83"/>
        <v>0</v>
      </c>
      <c r="T67" s="50">
        <f t="shared" si="84"/>
        <v>0</v>
      </c>
      <c r="U67" s="18">
        <f t="shared" si="85"/>
        <v>0</v>
      </c>
    </row>
    <row r="68" spans="2:24" ht="15" customHeight="1">
      <c r="B68" s="100" t="s">
        <v>75</v>
      </c>
      <c r="C68" s="36"/>
      <c r="D68" s="121"/>
      <c r="E68" s="36"/>
      <c r="F68" s="121"/>
      <c r="G68" s="128"/>
      <c r="H68" s="128"/>
      <c r="I68" s="19">
        <f t="shared" si="73"/>
        <v>0</v>
      </c>
      <c r="J68" s="52">
        <f t="shared" si="74"/>
        <v>0</v>
      </c>
      <c r="K68" s="52">
        <f t="shared" si="75"/>
        <v>0</v>
      </c>
      <c r="L68" s="19">
        <f t="shared" si="76"/>
        <v>0</v>
      </c>
      <c r="M68" s="52">
        <f t="shared" si="77"/>
        <v>0</v>
      </c>
      <c r="N68" s="52">
        <f t="shared" si="78"/>
        <v>0</v>
      </c>
      <c r="O68" s="19">
        <f t="shared" si="79"/>
        <v>0</v>
      </c>
      <c r="P68" s="52">
        <f t="shared" si="80"/>
        <v>0</v>
      </c>
      <c r="Q68" s="52">
        <f t="shared" si="81"/>
        <v>0</v>
      </c>
      <c r="R68" s="19">
        <f t="shared" si="82"/>
        <v>0</v>
      </c>
      <c r="S68" s="52">
        <f t="shared" si="83"/>
        <v>0</v>
      </c>
      <c r="T68" s="52">
        <f t="shared" si="84"/>
        <v>0</v>
      </c>
      <c r="U68" s="45">
        <f t="shared" si="85"/>
        <v>0</v>
      </c>
    </row>
    <row r="69" spans="2:24" ht="15.95" customHeight="1">
      <c r="B69" s="43" t="s">
        <v>110</v>
      </c>
      <c r="C69" s="41">
        <f>SUM(C70:C71)</f>
        <v>0</v>
      </c>
      <c r="D69" s="41"/>
      <c r="E69" s="41">
        <f>SUM(E70:E71)</f>
        <v>0</v>
      </c>
      <c r="F69" s="41"/>
      <c r="G69" s="41"/>
      <c r="H69" s="41"/>
      <c r="I69" s="41">
        <f>SUM(I70:I71)</f>
        <v>0</v>
      </c>
      <c r="J69" s="41">
        <f t="shared" ref="J69:T69" si="86">SUM(J70:J71)</f>
        <v>0</v>
      </c>
      <c r="K69" s="41">
        <f t="shared" si="86"/>
        <v>0</v>
      </c>
      <c r="L69" s="41">
        <f t="shared" si="86"/>
        <v>0</v>
      </c>
      <c r="M69" s="41">
        <f t="shared" si="86"/>
        <v>0</v>
      </c>
      <c r="N69" s="41">
        <f t="shared" si="86"/>
        <v>0</v>
      </c>
      <c r="O69" s="41">
        <f t="shared" si="86"/>
        <v>0</v>
      </c>
      <c r="P69" s="41">
        <f t="shared" si="86"/>
        <v>0</v>
      </c>
      <c r="Q69" s="41">
        <f t="shared" si="86"/>
        <v>0</v>
      </c>
      <c r="R69" s="41">
        <f t="shared" si="86"/>
        <v>0</v>
      </c>
      <c r="S69" s="41">
        <f t="shared" si="86"/>
        <v>0</v>
      </c>
      <c r="T69" s="41">
        <f t="shared" si="86"/>
        <v>0</v>
      </c>
      <c r="U69" s="48">
        <f>SUM(U70:U71)</f>
        <v>0</v>
      </c>
    </row>
    <row r="70" spans="2:24" ht="15.95" customHeight="1">
      <c r="B70" s="24" t="s">
        <v>83</v>
      </c>
      <c r="C70" s="28"/>
      <c r="D70" s="122"/>
      <c r="E70" s="28"/>
      <c r="F70" s="122"/>
      <c r="G70" s="126"/>
      <c r="H70" s="126"/>
      <c r="I70" s="17">
        <f t="shared" si="73"/>
        <v>0</v>
      </c>
      <c r="J70" s="50">
        <f t="shared" ref="J70:J71" si="87">CalcIva($G70,$H70,$I70)</f>
        <v>0</v>
      </c>
      <c r="K70" s="50">
        <f t="shared" ref="K70" si="88">CalcIrpf($G70,$H70,$I70)</f>
        <v>0</v>
      </c>
      <c r="L70" s="17">
        <f t="shared" si="76"/>
        <v>0</v>
      </c>
      <c r="M70" s="50">
        <f>CalcIva($G70,$H70,$L70)</f>
        <v>0</v>
      </c>
      <c r="N70" s="50">
        <f>CalcIrpf($G70,$H70,$L70)</f>
        <v>0</v>
      </c>
      <c r="O70" s="17">
        <f t="shared" si="79"/>
        <v>0</v>
      </c>
      <c r="P70" s="50">
        <f>CalcIva($G70,$H70,$O70)</f>
        <v>0</v>
      </c>
      <c r="Q70" s="50">
        <f>CalcIrpf($G70,$H70,$O70)</f>
        <v>0</v>
      </c>
      <c r="R70" s="17">
        <f t="shared" si="82"/>
        <v>0</v>
      </c>
      <c r="S70" s="50">
        <f>CalcIva($G70,$H70,$R70)</f>
        <v>0</v>
      </c>
      <c r="T70" s="50">
        <f>CalcIrpf($G70,$H70,$R70)</f>
        <v>0</v>
      </c>
      <c r="U70" s="18">
        <f t="shared" si="85"/>
        <v>0</v>
      </c>
      <c r="W70" s="8"/>
      <c r="X70" s="8"/>
    </row>
    <row r="71" spans="2:24" ht="15.95" customHeight="1">
      <c r="B71" s="46" t="s">
        <v>113</v>
      </c>
      <c r="C71" s="28"/>
      <c r="D71" s="122"/>
      <c r="E71" s="28"/>
      <c r="F71" s="123"/>
      <c r="G71" s="128"/>
      <c r="H71" s="19"/>
      <c r="I71" s="19">
        <f t="shared" si="73"/>
        <v>0</v>
      </c>
      <c r="J71" s="54">
        <f t="shared" si="87"/>
        <v>0</v>
      </c>
      <c r="K71" s="54"/>
      <c r="L71" s="19">
        <f t="shared" si="76"/>
        <v>0</v>
      </c>
      <c r="M71" s="54">
        <f t="shared" ref="M71" si="89">CalcIva($G71,$H71,$L71)</f>
        <v>0</v>
      </c>
      <c r="N71" s="54"/>
      <c r="O71" s="19">
        <f t="shared" si="79"/>
        <v>0</v>
      </c>
      <c r="P71" s="54">
        <f t="shared" ref="P71" si="90">CalcIva($G71,$H71,$O71)</f>
        <v>0</v>
      </c>
      <c r="Q71" s="54"/>
      <c r="R71" s="19">
        <f t="shared" si="82"/>
        <v>0</v>
      </c>
      <c r="S71" s="54">
        <f t="shared" ref="S71" si="91">CalcIva($G71,$H71,$R71)</f>
        <v>0</v>
      </c>
      <c r="T71" s="54"/>
      <c r="U71" s="45">
        <f t="shared" si="85"/>
        <v>0</v>
      </c>
      <c r="W71" s="8"/>
      <c r="X71" s="8"/>
    </row>
    <row r="72" spans="2:24" ht="8.1" customHeight="1">
      <c r="B72" s="52"/>
      <c r="C72" s="113"/>
      <c r="D72" s="114"/>
      <c r="E72" s="113"/>
      <c r="F72" s="114"/>
      <c r="G72" s="115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106"/>
      <c r="W72" s="8"/>
      <c r="X72" s="8"/>
    </row>
    <row r="73" spans="2:24" ht="15.95" customHeight="1">
      <c r="B73" s="154" t="s">
        <v>104</v>
      </c>
      <c r="C73" s="154"/>
      <c r="D73" s="154"/>
      <c r="E73" s="154"/>
      <c r="F73" s="154"/>
      <c r="G73" s="154"/>
      <c r="H73" s="154"/>
      <c r="I73" s="154"/>
      <c r="J73" s="154"/>
      <c r="K73" s="154"/>
      <c r="L73" s="154"/>
      <c r="M73" s="154"/>
      <c r="N73" s="154"/>
      <c r="O73" s="154"/>
      <c r="P73" s="154"/>
      <c r="Q73" s="154"/>
      <c r="R73" s="154"/>
      <c r="S73" s="154"/>
      <c r="T73" s="154"/>
      <c r="U73" s="154"/>
    </row>
    <row r="74" spans="2:24" ht="15.95" customHeight="1">
      <c r="B74" s="104" t="s">
        <v>105</v>
      </c>
      <c r="C74" s="41">
        <f>SUM(C75:C76)</f>
        <v>0</v>
      </c>
      <c r="D74" s="41"/>
      <c r="E74" s="41">
        <f>SUM(E75:E76)</f>
        <v>0</v>
      </c>
      <c r="F74" s="41"/>
      <c r="G74" s="41"/>
      <c r="H74" s="41"/>
      <c r="I74" s="41">
        <f>SUM(I75:I76)</f>
        <v>0</v>
      </c>
      <c r="J74" s="41"/>
      <c r="K74" s="41"/>
      <c r="L74" s="41">
        <f>SUM(L75:L76)</f>
        <v>0</v>
      </c>
      <c r="M74" s="41"/>
      <c r="N74" s="41"/>
      <c r="O74" s="41">
        <f>SUM(O75:O76)</f>
        <v>0</v>
      </c>
      <c r="P74" s="41"/>
      <c r="Q74" s="41"/>
      <c r="R74" s="41">
        <f>SUM(R75:R76)</f>
        <v>0</v>
      </c>
      <c r="S74" s="105"/>
      <c r="T74" s="105"/>
      <c r="U74" s="48">
        <f>SUM(U75:U76)</f>
        <v>0</v>
      </c>
    </row>
    <row r="75" spans="2:24" ht="15.95" customHeight="1">
      <c r="B75" s="119" t="s">
        <v>111</v>
      </c>
      <c r="C75" s="28"/>
      <c r="D75" s="122"/>
      <c r="E75" s="28"/>
      <c r="F75" s="122"/>
      <c r="G75" s="107"/>
      <c r="H75" s="107"/>
      <c r="I75" s="46">
        <f t="shared" ref="I75:I76" si="92">Import1T($C75,$D75,$E75,$F75)</f>
        <v>0</v>
      </c>
      <c r="J75" s="54"/>
      <c r="K75" s="54"/>
      <c r="L75" s="46">
        <f t="shared" ref="L75:L76" si="93">Import2T($C75,$D75,$E75,$F75)</f>
        <v>0</v>
      </c>
      <c r="M75" s="54"/>
      <c r="N75" s="54"/>
      <c r="O75" s="46">
        <f t="shared" ref="O75:O76" si="94">Import3T($C75,$D75,$E75,$F75)</f>
        <v>0</v>
      </c>
      <c r="P75" s="54"/>
      <c r="Q75" s="54"/>
      <c r="R75" s="46">
        <f t="shared" ref="R75:R76" si="95">Import4T($C75,$D75,$E75,$F75)</f>
        <v>0</v>
      </c>
      <c r="S75" s="54"/>
      <c r="T75" s="54"/>
      <c r="U75" s="47">
        <f t="shared" ref="U75:U76" si="96">SUM($I75,$L75,$O75,$R75)</f>
        <v>0</v>
      </c>
    </row>
    <row r="76" spans="2:24" ht="15.95" customHeight="1">
      <c r="B76" s="120" t="s">
        <v>112</v>
      </c>
      <c r="C76" s="36"/>
      <c r="D76" s="121"/>
      <c r="E76" s="36"/>
      <c r="F76" s="121"/>
      <c r="G76" s="108"/>
      <c r="H76" s="108"/>
      <c r="I76" s="19">
        <f t="shared" si="92"/>
        <v>0</v>
      </c>
      <c r="J76" s="54"/>
      <c r="K76" s="54"/>
      <c r="L76" s="19">
        <f t="shared" si="93"/>
        <v>0</v>
      </c>
      <c r="M76" s="54"/>
      <c r="N76" s="54"/>
      <c r="O76" s="19">
        <f t="shared" si="94"/>
        <v>0</v>
      </c>
      <c r="P76" s="54"/>
      <c r="Q76" s="54"/>
      <c r="R76" s="19">
        <f t="shared" si="95"/>
        <v>0</v>
      </c>
      <c r="S76" s="54"/>
      <c r="T76" s="54"/>
      <c r="U76" s="45">
        <f t="shared" si="96"/>
        <v>0</v>
      </c>
    </row>
    <row r="77" spans="2:24" ht="15.95" customHeight="1">
      <c r="B77" s="42" t="s">
        <v>106</v>
      </c>
      <c r="C77" s="41">
        <f>SUM(C78:C79)</f>
        <v>0</v>
      </c>
      <c r="D77" s="41"/>
      <c r="E77" s="41">
        <f>SUM(E78:E79)</f>
        <v>0</v>
      </c>
      <c r="F77" s="42"/>
      <c r="G77" s="42"/>
      <c r="H77" s="42"/>
      <c r="I77" s="41">
        <f>SUM(I78:I79)</f>
        <v>0</v>
      </c>
      <c r="J77" s="42"/>
      <c r="K77" s="42"/>
      <c r="L77" s="41">
        <f>SUM(L78:L79)</f>
        <v>0</v>
      </c>
      <c r="M77" s="42"/>
      <c r="N77" s="42"/>
      <c r="O77" s="41">
        <f>SUM(O78:O79)</f>
        <v>0</v>
      </c>
      <c r="P77" s="42"/>
      <c r="Q77" s="42"/>
      <c r="R77" s="41">
        <f>SUM(R78:R79)</f>
        <v>0</v>
      </c>
      <c r="S77" s="42"/>
      <c r="T77" s="42"/>
      <c r="U77" s="48">
        <f>SUM(U78:U79)</f>
        <v>0</v>
      </c>
    </row>
    <row r="78" spans="2:24" ht="15.95" customHeight="1">
      <c r="B78" s="119" t="s">
        <v>117</v>
      </c>
      <c r="C78" s="28"/>
      <c r="D78" s="122"/>
      <c r="E78" s="28"/>
      <c r="F78" s="122"/>
      <c r="G78" s="107"/>
      <c r="H78" s="107"/>
      <c r="I78" s="46">
        <f t="shared" ref="I78:I79" si="97">Import1T($C78,$D78,$E78,$F78)</f>
        <v>0</v>
      </c>
      <c r="J78" s="54"/>
      <c r="K78" s="54"/>
      <c r="L78" s="46">
        <f t="shared" ref="L78:L79" si="98">Import2T($C78,$D78,$E78,$F78)</f>
        <v>0</v>
      </c>
      <c r="M78" s="54"/>
      <c r="N78" s="54"/>
      <c r="O78" s="46">
        <f t="shared" ref="O78:O79" si="99">Import3T($C78,$D78,$E78,$F78)</f>
        <v>0</v>
      </c>
      <c r="P78" s="54"/>
      <c r="Q78" s="54"/>
      <c r="R78" s="46">
        <f t="shared" ref="R78:R79" si="100">Import4T($C78,$D78,$E78,$F78)</f>
        <v>0</v>
      </c>
      <c r="S78" s="54"/>
      <c r="T78" s="54"/>
      <c r="U78" s="47">
        <f t="shared" ref="U78:U79" si="101">SUM($I78,$L78,$O78,$R78)</f>
        <v>0</v>
      </c>
    </row>
    <row r="79" spans="2:24" ht="15.95" customHeight="1">
      <c r="B79" s="120" t="s">
        <v>114</v>
      </c>
      <c r="C79" s="36"/>
      <c r="D79" s="124"/>
      <c r="E79" s="36"/>
      <c r="F79" s="124"/>
      <c r="G79" s="108"/>
      <c r="H79" s="108"/>
      <c r="I79" s="19">
        <f t="shared" si="97"/>
        <v>0</v>
      </c>
      <c r="J79" s="54"/>
      <c r="K79" s="54"/>
      <c r="L79" s="19">
        <f t="shared" si="98"/>
        <v>0</v>
      </c>
      <c r="M79" s="54"/>
      <c r="N79" s="54"/>
      <c r="O79" s="19">
        <f t="shared" si="99"/>
        <v>0</v>
      </c>
      <c r="P79" s="54"/>
      <c r="Q79" s="54"/>
      <c r="R79" s="19">
        <f t="shared" si="100"/>
        <v>0</v>
      </c>
      <c r="S79" s="54"/>
      <c r="T79" s="54"/>
      <c r="U79" s="45">
        <f t="shared" si="101"/>
        <v>0</v>
      </c>
    </row>
    <row r="80" spans="2:24" s="8" customFormat="1" ht="24" customHeight="1">
      <c r="B80" s="43" t="s">
        <v>29</v>
      </c>
      <c r="C80" s="41">
        <f>SUM(C55,C61,C64,C69,C74,C77)</f>
        <v>0</v>
      </c>
      <c r="D80" s="41"/>
      <c r="E80" s="41">
        <f>SUM(E55,E61,E64,E69,E74,E77)</f>
        <v>0</v>
      </c>
      <c r="F80" s="41"/>
      <c r="G80" s="41"/>
      <c r="H80" s="41"/>
      <c r="I80" s="41">
        <f>SUM(I55,I61,I64,I69,I74,I77)</f>
        <v>0</v>
      </c>
      <c r="J80" s="41">
        <f t="shared" ref="J80:T80" si="102">SUM(J55,J61,J64,J69)</f>
        <v>0</v>
      </c>
      <c r="K80" s="41">
        <f t="shared" si="102"/>
        <v>0</v>
      </c>
      <c r="L80" s="41">
        <f>SUM(L55,L61,L64,L69,L74,L77)</f>
        <v>0</v>
      </c>
      <c r="M80" s="41">
        <f t="shared" si="102"/>
        <v>0</v>
      </c>
      <c r="N80" s="41">
        <f>SUM(N55,N61,N64,N69)</f>
        <v>0</v>
      </c>
      <c r="O80" s="41">
        <f>SUM(O55,O61,O64,O69,O74,O77)</f>
        <v>0</v>
      </c>
      <c r="P80" s="41">
        <f t="shared" si="102"/>
        <v>0</v>
      </c>
      <c r="Q80" s="41">
        <f t="shared" si="102"/>
        <v>0</v>
      </c>
      <c r="R80" s="41">
        <f>SUM(R55,R61,R64,R69,R74,R77)</f>
        <v>0</v>
      </c>
      <c r="S80" s="41">
        <f t="shared" si="102"/>
        <v>0</v>
      </c>
      <c r="T80" s="41">
        <f t="shared" si="102"/>
        <v>0</v>
      </c>
      <c r="U80" s="48">
        <f>SUM(U55,U61,U64,U69,U74,U77)</f>
        <v>0</v>
      </c>
      <c r="W80" s="4"/>
      <c r="X80" s="4"/>
    </row>
    <row r="81" spans="2:24" s="8" customFormat="1" ht="12" customHeight="1"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135"/>
      <c r="W81" s="4"/>
      <c r="X81" s="4"/>
    </row>
    <row r="82" spans="2:24" ht="26.25" customHeight="1">
      <c r="B82" s="152" t="s">
        <v>69</v>
      </c>
      <c r="C82" s="152"/>
      <c r="D82" s="152"/>
      <c r="E82" s="152"/>
      <c r="F82" s="153"/>
      <c r="G82" s="153"/>
      <c r="H82" s="153"/>
      <c r="I82" s="111">
        <f>I80-I51</f>
        <v>0</v>
      </c>
      <c r="J82" s="77"/>
      <c r="K82" s="77"/>
      <c r="L82" s="111">
        <f>IF(I$82 &lt; 0,(L$80-L$51),(L$80-L$51)+I$82)</f>
        <v>0</v>
      </c>
      <c r="M82" s="77"/>
      <c r="N82" s="77"/>
      <c r="O82" s="111">
        <f>IF(L$82 &lt; 0,(O$80-O$51),(O$80-O$51)+L$82)</f>
        <v>0</v>
      </c>
      <c r="P82" s="77"/>
      <c r="Q82" s="77"/>
      <c r="R82" s="111">
        <f>IF(O$82 &lt; 0,(R$80-R$51),(R$80-R$51)+O$82)</f>
        <v>0</v>
      </c>
      <c r="S82" s="95"/>
      <c r="T82" s="95"/>
      <c r="U82" s="135"/>
      <c r="W82" s="8"/>
      <c r="X82" s="8"/>
    </row>
    <row r="83" spans="2:24" ht="13.5" customHeight="1">
      <c r="B83" s="135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35"/>
      <c r="Q83" s="135"/>
      <c r="R83" s="135"/>
      <c r="S83" s="135"/>
      <c r="T83" s="135"/>
      <c r="U83" s="135"/>
    </row>
    <row r="84" spans="2:24" s="8" customFormat="1" ht="21.75" customHeight="1">
      <c r="B84" s="157" t="s">
        <v>78</v>
      </c>
      <c r="C84" s="157"/>
      <c r="D84" s="157"/>
      <c r="E84" s="157"/>
      <c r="F84" s="158" t="s">
        <v>67</v>
      </c>
      <c r="G84" s="158"/>
      <c r="H84" s="158"/>
      <c r="I84" s="132" t="s">
        <v>63</v>
      </c>
      <c r="J84" s="150" t="s">
        <v>64</v>
      </c>
      <c r="K84" s="150"/>
      <c r="L84" s="150"/>
      <c r="M84" s="150" t="s">
        <v>65</v>
      </c>
      <c r="N84" s="150"/>
      <c r="O84" s="150"/>
      <c r="P84" s="150" t="s">
        <v>66</v>
      </c>
      <c r="Q84" s="150"/>
      <c r="R84" s="150"/>
      <c r="S84" s="95"/>
      <c r="T84" s="95"/>
      <c r="U84" s="14" t="s">
        <v>81</v>
      </c>
      <c r="W84" s="4"/>
      <c r="X84" s="4"/>
    </row>
    <row r="85" spans="2:24" ht="15" customHeight="1">
      <c r="B85" s="11"/>
      <c r="C85" s="151" t="s">
        <v>7</v>
      </c>
      <c r="D85" s="151"/>
      <c r="E85" s="151"/>
      <c r="F85" s="78"/>
      <c r="G85" s="79"/>
      <c r="H85" s="79"/>
      <c r="I85" s="91">
        <f>J80-J51</f>
        <v>0</v>
      </c>
      <c r="J85" s="92"/>
      <c r="K85" s="92"/>
      <c r="L85" s="91">
        <f>IF(I$85 &lt; 0,(M$80-M$51)+I$85,(M$80-M$51))</f>
        <v>0</v>
      </c>
      <c r="M85" s="92"/>
      <c r="N85" s="92"/>
      <c r="O85" s="91">
        <f>IF(L$85 &lt; 0,(P$80-P$51)+L$85,(P$80-P$51))</f>
        <v>0</v>
      </c>
      <c r="P85" s="92"/>
      <c r="Q85" s="92"/>
      <c r="R85" s="91">
        <f>IF(O$85&lt;0,(S$80-S$51)+O$85,(S$80-S$51))</f>
        <v>0</v>
      </c>
      <c r="S85" s="96"/>
      <c r="T85" s="96"/>
      <c r="U85" s="94">
        <f>IF(R$85 &lt; 0,R$85,0)</f>
        <v>0</v>
      </c>
    </row>
    <row r="86" spans="2:24" ht="15" customHeight="1">
      <c r="B86" s="11"/>
      <c r="C86" s="155" t="s">
        <v>120</v>
      </c>
      <c r="D86" s="155"/>
      <c r="E86" s="155"/>
      <c r="F86" s="81"/>
      <c r="G86" s="82"/>
      <c r="H86" s="82"/>
      <c r="I86" s="82">
        <f>K51</f>
        <v>0</v>
      </c>
      <c r="J86" s="80"/>
      <c r="K86" s="80"/>
      <c r="L86" s="82">
        <f>N51</f>
        <v>0</v>
      </c>
      <c r="M86" s="80"/>
      <c r="N86" s="80"/>
      <c r="O86" s="82">
        <f>Q51</f>
        <v>0</v>
      </c>
      <c r="P86" s="80"/>
      <c r="Q86" s="80"/>
      <c r="R86" s="82">
        <f>T51</f>
        <v>0</v>
      </c>
      <c r="S86" s="97"/>
      <c r="T86" s="97"/>
      <c r="U86" s="18">
        <f>I86+L86+O86+R86</f>
        <v>0</v>
      </c>
    </row>
    <row r="87" spans="2:24" ht="15" customHeight="1">
      <c r="B87" s="11"/>
      <c r="C87" s="155" t="s">
        <v>80</v>
      </c>
      <c r="D87" s="155"/>
      <c r="E87" s="155"/>
      <c r="F87" s="84"/>
      <c r="G87" s="85"/>
      <c r="H87" s="85"/>
      <c r="I87" s="85">
        <f>K80</f>
        <v>0</v>
      </c>
      <c r="J87" s="80"/>
      <c r="K87" s="80"/>
      <c r="L87" s="82">
        <f>N80</f>
        <v>0</v>
      </c>
      <c r="M87" s="80"/>
      <c r="N87" s="80"/>
      <c r="O87" s="82">
        <f>Q80</f>
        <v>0</v>
      </c>
      <c r="P87" s="80"/>
      <c r="Q87" s="80"/>
      <c r="R87" s="82">
        <f>T80</f>
        <v>0</v>
      </c>
      <c r="S87" s="97"/>
      <c r="T87" s="97"/>
      <c r="U87" s="18">
        <f>I87+L87+O87+R87</f>
        <v>0</v>
      </c>
    </row>
    <row r="88" spans="2:24" ht="15" customHeight="1">
      <c r="B88" s="11"/>
      <c r="C88" s="155" t="s">
        <v>62</v>
      </c>
      <c r="D88" s="155"/>
      <c r="E88" s="155"/>
      <c r="F88" s="156">
        <f>E11</f>
        <v>0</v>
      </c>
      <c r="G88" s="156"/>
      <c r="H88" s="86"/>
      <c r="I88" s="87">
        <f>I11</f>
        <v>0</v>
      </c>
      <c r="J88" s="80"/>
      <c r="K88" s="80"/>
      <c r="L88" s="82">
        <f>L11</f>
        <v>0</v>
      </c>
      <c r="M88" s="80">
        <f>O11</f>
        <v>0</v>
      </c>
      <c r="N88" s="80"/>
      <c r="O88" s="82">
        <f>O11</f>
        <v>0</v>
      </c>
      <c r="P88" s="80"/>
      <c r="Q88" s="80"/>
      <c r="R88" s="82">
        <f>R11</f>
        <v>0</v>
      </c>
      <c r="S88" s="97"/>
      <c r="T88" s="97"/>
      <c r="U88" s="18"/>
    </row>
    <row r="89" spans="2:24">
      <c r="B89" s="5"/>
      <c r="C89" s="5"/>
      <c r="D89" s="5"/>
      <c r="E89" s="5"/>
      <c r="F89" s="5"/>
      <c r="G89" s="5"/>
      <c r="H89" s="5"/>
      <c r="I89" s="5"/>
      <c r="J89" s="5"/>
      <c r="K89" s="5"/>
      <c r="L89" s="53"/>
      <c r="M89" s="53"/>
      <c r="N89" s="53"/>
      <c r="O89" s="5"/>
      <c r="P89" s="5"/>
      <c r="Q89" s="5"/>
      <c r="R89" s="5"/>
      <c r="S89" s="5"/>
      <c r="T89" s="5"/>
      <c r="U89" s="5"/>
    </row>
    <row r="90" spans="2:24" ht="23.2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136"/>
    </row>
  </sheetData>
  <mergeCells count="26">
    <mergeCell ref="C86:E86"/>
    <mergeCell ref="C87:E87"/>
    <mergeCell ref="C88:E88"/>
    <mergeCell ref="F88:G88"/>
    <mergeCell ref="B84:E84"/>
    <mergeCell ref="F84:H84"/>
    <mergeCell ref="B53:U53"/>
    <mergeCell ref="J84:L84"/>
    <mergeCell ref="M84:O84"/>
    <mergeCell ref="P84:R84"/>
    <mergeCell ref="C85:E85"/>
    <mergeCell ref="B82:E82"/>
    <mergeCell ref="F82:H82"/>
    <mergeCell ref="B73:U73"/>
    <mergeCell ref="C2:U2"/>
    <mergeCell ref="B7:U7"/>
    <mergeCell ref="B4:B6"/>
    <mergeCell ref="G4:G5"/>
    <mergeCell ref="H4:H5"/>
    <mergeCell ref="I4:R5"/>
    <mergeCell ref="U4:U6"/>
    <mergeCell ref="C5:C6"/>
    <mergeCell ref="D5:D6"/>
    <mergeCell ref="E5:E6"/>
    <mergeCell ref="C4:E4"/>
    <mergeCell ref="F4:F6"/>
  </mergeCells>
  <conditionalFormatting sqref="I9 I27:I42 L27:L42 O27:O42 R27:R42 H71:I72 B71:B72 L70:L72 O70:O72 R70:R72 U70:U72">
    <cfRule type="cellIs" dxfId="220" priority="176" operator="equal">
      <formula>0</formula>
    </cfRule>
  </conditionalFormatting>
  <conditionalFormatting sqref="L9:L11 O9:O11 R9:R11 R13 O13 L13">
    <cfRule type="cellIs" dxfId="219" priority="175" operator="equal">
      <formula>0</formula>
    </cfRule>
  </conditionalFormatting>
  <conditionalFormatting sqref="I10:I11 I13">
    <cfRule type="cellIs" dxfId="218" priority="174" operator="equal">
      <formula>0</formula>
    </cfRule>
  </conditionalFormatting>
  <conditionalFormatting sqref="I15 L15 O15 R15">
    <cfRule type="cellIs" dxfId="217" priority="173" operator="equal">
      <formula>0</formula>
    </cfRule>
  </conditionalFormatting>
  <conditionalFormatting sqref="I17:I18 L17:L18 O17:O18 R17:R18">
    <cfRule type="cellIs" dxfId="216" priority="172" operator="equal">
      <formula>0</formula>
    </cfRule>
  </conditionalFormatting>
  <conditionalFormatting sqref="I20:I25 L20:L25 O20:O25 R20:R25">
    <cfRule type="cellIs" dxfId="215" priority="171" operator="equal">
      <formula>0</formula>
    </cfRule>
  </conditionalFormatting>
  <conditionalFormatting sqref="L44:L48 O44:O48 R44:R48">
    <cfRule type="cellIs" dxfId="214" priority="170" operator="equal">
      <formula>0</formula>
    </cfRule>
  </conditionalFormatting>
  <conditionalFormatting sqref="I56:I63 R56:R63 O56:O63 L56:L63">
    <cfRule type="cellIs" dxfId="213" priority="169" operator="equal">
      <formula>0</formula>
    </cfRule>
  </conditionalFormatting>
  <conditionalFormatting sqref="I65:I68 R65:R68 O65:O68 L65:L68">
    <cfRule type="cellIs" dxfId="212" priority="168" operator="equal">
      <formula>0</formula>
    </cfRule>
  </conditionalFormatting>
  <conditionalFormatting sqref="I62:I63 R62:R63 O62:O63 L62:L63">
    <cfRule type="cellIs" dxfId="211" priority="167" operator="equal">
      <formula>0</formula>
    </cfRule>
  </conditionalFormatting>
  <conditionalFormatting sqref="U68">
    <cfRule type="cellIs" dxfId="210" priority="159" operator="equal">
      <formula>0</formula>
    </cfRule>
  </conditionalFormatting>
  <conditionalFormatting sqref="I8">
    <cfRule type="cellIs" dxfId="209" priority="157" operator="equal">
      <formula>0</formula>
    </cfRule>
  </conditionalFormatting>
  <conditionalFormatting sqref="L8 O8 R8">
    <cfRule type="cellIs" dxfId="208" priority="156" operator="equal">
      <formula>0</formula>
    </cfRule>
  </conditionalFormatting>
  <conditionalFormatting sqref="C14:T14">
    <cfRule type="cellIs" dxfId="207" priority="155" operator="equal">
      <formula>0</formula>
    </cfRule>
  </conditionalFormatting>
  <conditionalFormatting sqref="C16:T16">
    <cfRule type="cellIs" dxfId="206" priority="154" operator="equal">
      <formula>0</formula>
    </cfRule>
  </conditionalFormatting>
  <conditionalFormatting sqref="C19:R19">
    <cfRule type="cellIs" dxfId="205" priority="153" operator="equal">
      <formula>0</formula>
    </cfRule>
  </conditionalFormatting>
  <conditionalFormatting sqref="C26:T26">
    <cfRule type="cellIs" dxfId="204" priority="152" operator="equal">
      <formula>0</formula>
    </cfRule>
  </conditionalFormatting>
  <conditionalFormatting sqref="C43:T43">
    <cfRule type="cellIs" dxfId="203" priority="150" operator="equal">
      <formula>0</formula>
    </cfRule>
  </conditionalFormatting>
  <conditionalFormatting sqref="C51:T51">
    <cfRule type="cellIs" dxfId="202" priority="149" operator="equal">
      <formula>0</formula>
    </cfRule>
  </conditionalFormatting>
  <conditionalFormatting sqref="C55:T55">
    <cfRule type="cellIs" dxfId="201" priority="148" operator="equal">
      <formula>0</formula>
    </cfRule>
  </conditionalFormatting>
  <conditionalFormatting sqref="C64:T64">
    <cfRule type="cellIs" dxfId="200" priority="147" operator="equal">
      <formula>0</formula>
    </cfRule>
  </conditionalFormatting>
  <conditionalFormatting sqref="C61:T61">
    <cfRule type="cellIs" dxfId="199" priority="146" operator="equal">
      <formula>0</formula>
    </cfRule>
  </conditionalFormatting>
  <conditionalFormatting sqref="C80:T80">
    <cfRule type="cellIs" dxfId="198" priority="145" operator="equal">
      <formula>0</formula>
    </cfRule>
  </conditionalFormatting>
  <conditionalFormatting sqref="I82">
    <cfRule type="cellIs" dxfId="197" priority="144" operator="equal">
      <formula>0</formula>
    </cfRule>
  </conditionalFormatting>
  <conditionalFormatting sqref="M82:N82 P82:Q82">
    <cfRule type="cellIs" dxfId="196" priority="143" operator="equal">
      <formula>0</formula>
    </cfRule>
  </conditionalFormatting>
  <conditionalFormatting sqref="F88:G88 M85 J85 I88 G85:G87">
    <cfRule type="cellIs" dxfId="195" priority="141" operator="equal">
      <formula>0</formula>
    </cfRule>
    <cfRule type="cellIs" priority="142" operator="equal">
      <formula>0</formula>
    </cfRule>
  </conditionalFormatting>
  <conditionalFormatting sqref="I40:I42 L40:L42 O40:O42 R40:R42">
    <cfRule type="cellIs" dxfId="194" priority="140" operator="equal">
      <formula>0</formula>
    </cfRule>
  </conditionalFormatting>
  <conditionalFormatting sqref="C39:T39">
    <cfRule type="cellIs" dxfId="193" priority="138" operator="equal">
      <formula>0</formula>
    </cfRule>
  </conditionalFormatting>
  <conditionalFormatting sqref="S19:T19">
    <cfRule type="cellIs" dxfId="192" priority="136" operator="equal">
      <formula>0</formula>
    </cfRule>
  </conditionalFormatting>
  <conditionalFormatting sqref="I86:I87">
    <cfRule type="cellIs" dxfId="191" priority="134" operator="equal">
      <formula>0</formula>
    </cfRule>
    <cfRule type="cellIs" priority="135" operator="equal">
      <formula>0</formula>
    </cfRule>
  </conditionalFormatting>
  <conditionalFormatting sqref="M86:N87">
    <cfRule type="cellIs" dxfId="190" priority="132" operator="equal">
      <formula>0</formula>
    </cfRule>
    <cfRule type="cellIs" priority="133" operator="equal">
      <formula>0</formula>
    </cfRule>
  </conditionalFormatting>
  <conditionalFormatting sqref="P86:Q87">
    <cfRule type="cellIs" dxfId="189" priority="130" operator="equal">
      <formula>0</formula>
    </cfRule>
    <cfRule type="cellIs" priority="131" operator="equal">
      <formula>0</formula>
    </cfRule>
  </conditionalFormatting>
  <conditionalFormatting sqref="J86:K87">
    <cfRule type="cellIs" dxfId="188" priority="128" operator="equal">
      <formula>0</formula>
    </cfRule>
    <cfRule type="cellIs" priority="129" operator="equal">
      <formula>0</formula>
    </cfRule>
  </conditionalFormatting>
  <conditionalFormatting sqref="J88:K88">
    <cfRule type="cellIs" dxfId="187" priority="126" operator="equal">
      <formula>0</formula>
    </cfRule>
    <cfRule type="cellIs" priority="127" operator="equal">
      <formula>0</formula>
    </cfRule>
  </conditionalFormatting>
  <conditionalFormatting sqref="M88:N88">
    <cfRule type="cellIs" dxfId="186" priority="124" operator="equal">
      <formula>0</formula>
    </cfRule>
    <cfRule type="cellIs" priority="125" operator="equal">
      <formula>0</formula>
    </cfRule>
  </conditionalFormatting>
  <conditionalFormatting sqref="L89:N89">
    <cfRule type="cellIs" dxfId="185" priority="122" operator="equal">
      <formula>0</formula>
    </cfRule>
    <cfRule type="cellIs" priority="123" operator="equal">
      <formula>0</formula>
    </cfRule>
  </conditionalFormatting>
  <conditionalFormatting sqref="P88:Q88">
    <cfRule type="cellIs" dxfId="184" priority="120" operator="equal">
      <formula>0</formula>
    </cfRule>
    <cfRule type="cellIs" priority="121" operator="equal">
      <formula>0</formula>
    </cfRule>
  </conditionalFormatting>
  <conditionalFormatting sqref="L86:L87">
    <cfRule type="cellIs" dxfId="183" priority="118" operator="equal">
      <formula>0</formula>
    </cfRule>
    <cfRule type="cellIs" priority="119" operator="equal">
      <formula>0</formula>
    </cfRule>
  </conditionalFormatting>
  <conditionalFormatting sqref="L88">
    <cfRule type="cellIs" dxfId="182" priority="116" operator="equal">
      <formula>0</formula>
    </cfRule>
    <cfRule type="cellIs" priority="117" operator="equal">
      <formula>0</formula>
    </cfRule>
  </conditionalFormatting>
  <conditionalFormatting sqref="O86:O88">
    <cfRule type="cellIs" dxfId="181" priority="114" operator="equal">
      <formula>0</formula>
    </cfRule>
    <cfRule type="cellIs" priority="115" operator="equal">
      <formula>0</formula>
    </cfRule>
  </conditionalFormatting>
  <conditionalFormatting sqref="R86:R88">
    <cfRule type="cellIs" dxfId="180" priority="112" operator="equal">
      <formula>0</formula>
    </cfRule>
    <cfRule type="cellIs" priority="113" operator="equal">
      <formula>0</formula>
    </cfRule>
  </conditionalFormatting>
  <conditionalFormatting sqref="I85">
    <cfRule type="cellIs" dxfId="179" priority="81" operator="lessThan">
      <formula>0</formula>
    </cfRule>
    <cfRule type="cellIs" dxfId="178" priority="110" operator="equal">
      <formula>0</formula>
    </cfRule>
    <cfRule type="cellIs" priority="111" operator="equal">
      <formula>0</formula>
    </cfRule>
  </conditionalFormatting>
  <conditionalFormatting sqref="H56">
    <cfRule type="cellIs" dxfId="177" priority="109" operator="equal">
      <formula>0</formula>
    </cfRule>
  </conditionalFormatting>
  <conditionalFormatting sqref="H57">
    <cfRule type="cellIs" dxfId="176" priority="108" operator="equal">
      <formula>0</formula>
    </cfRule>
  </conditionalFormatting>
  <conditionalFormatting sqref="H58">
    <cfRule type="cellIs" dxfId="175" priority="107" operator="equal">
      <formula>0</formula>
    </cfRule>
  </conditionalFormatting>
  <conditionalFormatting sqref="H59">
    <cfRule type="cellIs" dxfId="174" priority="106" operator="equal">
      <formula>0</formula>
    </cfRule>
  </conditionalFormatting>
  <conditionalFormatting sqref="H60:H63">
    <cfRule type="cellIs" dxfId="173" priority="105" operator="equal">
      <formula>0</formula>
    </cfRule>
  </conditionalFormatting>
  <conditionalFormatting sqref="H20:H25">
    <cfRule type="cellIs" dxfId="172" priority="101" operator="equal">
      <formula>0</formula>
    </cfRule>
  </conditionalFormatting>
  <conditionalFormatting sqref="C69:T69">
    <cfRule type="cellIs" dxfId="171" priority="103" operator="equal">
      <formula>0</formula>
    </cfRule>
  </conditionalFormatting>
  <conditionalFormatting sqref="H62:H63">
    <cfRule type="cellIs" dxfId="170" priority="102" operator="equal">
      <formula>0</formula>
    </cfRule>
  </conditionalFormatting>
  <conditionalFormatting sqref="H27:H36">
    <cfRule type="cellIs" dxfId="169" priority="100" operator="equal">
      <formula>0</formula>
    </cfRule>
  </conditionalFormatting>
  <conditionalFormatting sqref="G15:H15">
    <cfRule type="cellIs" dxfId="168" priority="99" operator="equal">
      <formula>0</formula>
    </cfRule>
  </conditionalFormatting>
  <conditionalFormatting sqref="H44">
    <cfRule type="cellIs" dxfId="167" priority="98" operator="equal">
      <formula>0</formula>
    </cfRule>
  </conditionalFormatting>
  <conditionalFormatting sqref="H46:H48">
    <cfRule type="cellIs" dxfId="166" priority="97" operator="equal">
      <formula>0</formula>
    </cfRule>
  </conditionalFormatting>
  <conditionalFormatting sqref="H46:H48">
    <cfRule type="cellIs" dxfId="165" priority="96" operator="equal">
      <formula>0</formula>
    </cfRule>
  </conditionalFormatting>
  <conditionalFormatting sqref="L12 O12 R12">
    <cfRule type="cellIs" dxfId="164" priority="94" operator="equal">
      <formula>0</formula>
    </cfRule>
  </conditionalFormatting>
  <conditionalFormatting sqref="I12">
    <cfRule type="cellIs" dxfId="163" priority="93" operator="equal">
      <formula>0</formula>
    </cfRule>
  </conditionalFormatting>
  <conditionalFormatting sqref="G9:H9">
    <cfRule type="cellIs" dxfId="162" priority="91" operator="equal">
      <formula>0</formula>
    </cfRule>
  </conditionalFormatting>
  <conditionalFormatting sqref="G10:H11">
    <cfRule type="cellIs" dxfId="161" priority="90" operator="equal">
      <formula>0</formula>
    </cfRule>
  </conditionalFormatting>
  <conditionalFormatting sqref="G12:H12">
    <cfRule type="cellIs" dxfId="160" priority="89" operator="equal">
      <formula>0</formula>
    </cfRule>
  </conditionalFormatting>
  <conditionalFormatting sqref="G44:G46">
    <cfRule type="cellIs" dxfId="159" priority="88" operator="equal">
      <formula>0</formula>
    </cfRule>
  </conditionalFormatting>
  <conditionalFormatting sqref="G35">
    <cfRule type="cellIs" dxfId="158" priority="87" operator="equal">
      <formula>0</formula>
    </cfRule>
  </conditionalFormatting>
  <conditionalFormatting sqref="J8:K8">
    <cfRule type="cellIs" dxfId="157" priority="86" operator="equal">
      <formula>0</formula>
    </cfRule>
  </conditionalFormatting>
  <conditionalFormatting sqref="M8:N8">
    <cfRule type="cellIs" dxfId="156" priority="85" operator="equal">
      <formula>0</formula>
    </cfRule>
  </conditionalFormatting>
  <conditionalFormatting sqref="P8:Q8">
    <cfRule type="cellIs" dxfId="155" priority="84" operator="equal">
      <formula>0</formula>
    </cfRule>
  </conditionalFormatting>
  <conditionalFormatting sqref="S8:T8">
    <cfRule type="cellIs" dxfId="154" priority="83" operator="equal">
      <formula>0</formula>
    </cfRule>
  </conditionalFormatting>
  <conditionalFormatting sqref="I44:I48">
    <cfRule type="cellIs" dxfId="153" priority="80" operator="equal">
      <formula>0</formula>
    </cfRule>
  </conditionalFormatting>
  <conditionalFormatting sqref="I44:I48">
    <cfRule type="cellIs" dxfId="152" priority="79" operator="equal">
      <formula>0</formula>
    </cfRule>
  </conditionalFormatting>
  <conditionalFormatting sqref="I70">
    <cfRule type="cellIs" dxfId="151" priority="78" operator="equal">
      <formula>0</formula>
    </cfRule>
  </conditionalFormatting>
  <conditionalFormatting sqref="U86:U88">
    <cfRule type="cellIs" dxfId="150" priority="72" operator="equal">
      <formula>0</formula>
    </cfRule>
  </conditionalFormatting>
  <conditionalFormatting sqref="O85">
    <cfRule type="cellIs" dxfId="149" priority="69" operator="lessThan">
      <formula>0</formula>
    </cfRule>
    <cfRule type="cellIs" dxfId="148" priority="70" operator="equal">
      <formula>0</formula>
    </cfRule>
    <cfRule type="cellIs" priority="71" operator="equal">
      <formula>0</formula>
    </cfRule>
  </conditionalFormatting>
  <conditionalFormatting sqref="R85">
    <cfRule type="cellIs" dxfId="147" priority="66" operator="lessThan">
      <formula>0</formula>
    </cfRule>
    <cfRule type="cellIs" dxfId="146" priority="67" operator="equal">
      <formula>0</formula>
    </cfRule>
    <cfRule type="cellIs" priority="68" operator="equal">
      <formula>0</formula>
    </cfRule>
  </conditionalFormatting>
  <conditionalFormatting sqref="L85">
    <cfRule type="cellIs" dxfId="145" priority="63" operator="lessThan">
      <formula>0</formula>
    </cfRule>
    <cfRule type="cellIs" dxfId="144" priority="64" operator="equal">
      <formula>0</formula>
    </cfRule>
    <cfRule type="cellIs" priority="65" operator="equal">
      <formula>0</formula>
    </cfRule>
  </conditionalFormatting>
  <conditionalFormatting sqref="U85">
    <cfRule type="cellIs" dxfId="143" priority="60" operator="lessThan">
      <formula>0</formula>
    </cfRule>
    <cfRule type="cellIs" dxfId="142" priority="61" operator="equal">
      <formula>0</formula>
    </cfRule>
    <cfRule type="cellIs" priority="62" operator="equal">
      <formula>0</formula>
    </cfRule>
  </conditionalFormatting>
  <conditionalFormatting sqref="C8">
    <cfRule type="cellIs" dxfId="141" priority="59" operator="equal">
      <formula>0</formula>
    </cfRule>
  </conditionalFormatting>
  <conditionalFormatting sqref="E8">
    <cfRule type="cellIs" dxfId="140" priority="58" operator="equal">
      <formula>0</formula>
    </cfRule>
  </conditionalFormatting>
  <conditionalFormatting sqref="U65:U67">
    <cfRule type="cellIs" dxfId="139" priority="51" operator="equal">
      <formula>0</formula>
    </cfRule>
  </conditionalFormatting>
  <conditionalFormatting sqref="U56:U60">
    <cfRule type="cellIs" dxfId="138" priority="50" operator="equal">
      <formula>0</formula>
    </cfRule>
  </conditionalFormatting>
  <conditionalFormatting sqref="U62:U63">
    <cfRule type="cellIs" dxfId="137" priority="49" operator="equal">
      <formula>0</formula>
    </cfRule>
  </conditionalFormatting>
  <conditionalFormatting sqref="U64">
    <cfRule type="cellIs" dxfId="136" priority="47" operator="equal">
      <formula>0</formula>
    </cfRule>
  </conditionalFormatting>
  <conditionalFormatting sqref="U61">
    <cfRule type="cellIs" dxfId="135" priority="46" operator="equal">
      <formula>0</formula>
    </cfRule>
  </conditionalFormatting>
  <conditionalFormatting sqref="U55">
    <cfRule type="cellIs" dxfId="134" priority="45" operator="equal">
      <formula>0</formula>
    </cfRule>
  </conditionalFormatting>
  <conditionalFormatting sqref="U9:U13">
    <cfRule type="cellIs" dxfId="133" priority="44" operator="equal">
      <formula>0</formula>
    </cfRule>
  </conditionalFormatting>
  <conditionalFormatting sqref="U15">
    <cfRule type="cellIs" dxfId="132" priority="43" operator="equal">
      <formula>0</formula>
    </cfRule>
  </conditionalFormatting>
  <conditionalFormatting sqref="U17:U18">
    <cfRule type="cellIs" dxfId="131" priority="42" operator="equal">
      <formula>0</formula>
    </cfRule>
  </conditionalFormatting>
  <conditionalFormatting sqref="U20:U25">
    <cfRule type="cellIs" dxfId="130" priority="41" operator="equal">
      <formula>0</formula>
    </cfRule>
  </conditionalFormatting>
  <conditionalFormatting sqref="U27:U38">
    <cfRule type="cellIs" dxfId="129" priority="40" operator="equal">
      <formula>0</formula>
    </cfRule>
  </conditionalFormatting>
  <conditionalFormatting sqref="U40:U42">
    <cfRule type="cellIs" dxfId="128" priority="39" operator="equal">
      <formula>0</formula>
    </cfRule>
  </conditionalFormatting>
  <conditionalFormatting sqref="U44:U48">
    <cfRule type="cellIs" dxfId="127" priority="38" operator="equal">
      <formula>0</formula>
    </cfRule>
  </conditionalFormatting>
  <conditionalFormatting sqref="U8">
    <cfRule type="cellIs" dxfId="126" priority="37" operator="equal">
      <formula>0</formula>
    </cfRule>
  </conditionalFormatting>
  <conditionalFormatting sqref="U14">
    <cfRule type="cellIs" dxfId="125" priority="36" operator="equal">
      <formula>0</formula>
    </cfRule>
  </conditionalFormatting>
  <conditionalFormatting sqref="U16">
    <cfRule type="cellIs" dxfId="124" priority="35" operator="equal">
      <formula>0</formula>
    </cfRule>
  </conditionalFormatting>
  <conditionalFormatting sqref="U19">
    <cfRule type="cellIs" dxfId="123" priority="34" operator="equal">
      <formula>0</formula>
    </cfRule>
  </conditionalFormatting>
  <conditionalFormatting sqref="U26">
    <cfRule type="cellIs" dxfId="122" priority="33" operator="equal">
      <formula>0</formula>
    </cfRule>
  </conditionalFormatting>
  <conditionalFormatting sqref="U39">
    <cfRule type="cellIs" dxfId="121" priority="32" operator="equal">
      <formula>0</formula>
    </cfRule>
  </conditionalFormatting>
  <conditionalFormatting sqref="U43">
    <cfRule type="cellIs" dxfId="120" priority="31" operator="equal">
      <formula>0</formula>
    </cfRule>
  </conditionalFormatting>
  <conditionalFormatting sqref="U51">
    <cfRule type="cellIs" dxfId="119" priority="30" operator="equal">
      <formula>0</formula>
    </cfRule>
  </conditionalFormatting>
  <conditionalFormatting sqref="U69">
    <cfRule type="cellIs" dxfId="118" priority="29" operator="equal">
      <formula>0</formula>
    </cfRule>
  </conditionalFormatting>
  <conditionalFormatting sqref="I77">
    <cfRule type="cellIs" dxfId="117" priority="24" operator="equal">
      <formula>0</formula>
    </cfRule>
  </conditionalFormatting>
  <conditionalFormatting sqref="L77">
    <cfRule type="cellIs" dxfId="116" priority="21" operator="equal">
      <formula>0</formula>
    </cfRule>
  </conditionalFormatting>
  <conditionalFormatting sqref="O77">
    <cfRule type="cellIs" dxfId="115" priority="20" operator="equal">
      <formula>0</formula>
    </cfRule>
  </conditionalFormatting>
  <conditionalFormatting sqref="R77">
    <cfRule type="cellIs" dxfId="114" priority="17" operator="equal">
      <formula>0</formula>
    </cfRule>
  </conditionalFormatting>
  <conditionalFormatting sqref="U74">
    <cfRule type="cellIs" dxfId="113" priority="16" operator="equal">
      <formula>0</formula>
    </cfRule>
  </conditionalFormatting>
  <conditionalFormatting sqref="U77">
    <cfRule type="cellIs" dxfId="112" priority="15" operator="equal">
      <formula>0</formula>
    </cfRule>
  </conditionalFormatting>
  <conditionalFormatting sqref="U80">
    <cfRule type="cellIs" dxfId="111" priority="14" operator="equal">
      <formula>0</formula>
    </cfRule>
  </conditionalFormatting>
  <conditionalFormatting sqref="I78:I79 I75:I76">
    <cfRule type="cellIs" dxfId="110" priority="13" operator="equal">
      <formula>0</formula>
    </cfRule>
  </conditionalFormatting>
  <conditionalFormatting sqref="E77">
    <cfRule type="cellIs" dxfId="109" priority="12" operator="equal">
      <formula>0</formula>
    </cfRule>
  </conditionalFormatting>
  <conditionalFormatting sqref="L78:L79 O78:O79 R78:R79 L75:L76 O75:O76 R75:R76">
    <cfRule type="cellIs" dxfId="108" priority="11" operator="equal">
      <formula>0</formula>
    </cfRule>
  </conditionalFormatting>
  <conditionalFormatting sqref="U78:U79 U75:U76">
    <cfRule type="cellIs" dxfId="107" priority="10" operator="equal">
      <formula>0</formula>
    </cfRule>
  </conditionalFormatting>
  <conditionalFormatting sqref="L82">
    <cfRule type="cellIs" dxfId="106" priority="9" operator="equal">
      <formula>0</formula>
    </cfRule>
  </conditionalFormatting>
  <conditionalFormatting sqref="O82">
    <cfRule type="cellIs" dxfId="105" priority="8" operator="equal">
      <formula>0</formula>
    </cfRule>
  </conditionalFormatting>
  <conditionalFormatting sqref="R82">
    <cfRule type="cellIs" dxfId="104" priority="7" operator="equal">
      <formula>0</formula>
    </cfRule>
  </conditionalFormatting>
  <conditionalFormatting sqref="C74:R74">
    <cfRule type="cellIs" dxfId="103" priority="6" operator="equal">
      <formula>0</formula>
    </cfRule>
  </conditionalFormatting>
  <conditionalFormatting sqref="C77:D77">
    <cfRule type="cellIs" dxfId="102" priority="5" operator="equal">
      <formula>0</formula>
    </cfRule>
  </conditionalFormatting>
  <conditionalFormatting sqref="L49:L50 O49:O50 R49:R50">
    <cfRule type="cellIs" dxfId="101" priority="4" operator="equal">
      <formula>0</formula>
    </cfRule>
  </conditionalFormatting>
  <conditionalFormatting sqref="I49:I50">
    <cfRule type="cellIs" dxfId="100" priority="3" operator="equal">
      <formula>0</formula>
    </cfRule>
  </conditionalFormatting>
  <conditionalFormatting sqref="I49:I50">
    <cfRule type="cellIs" dxfId="99" priority="2" operator="equal">
      <formula>0</formula>
    </cfRule>
  </conditionalFormatting>
  <conditionalFormatting sqref="U49:U50">
    <cfRule type="cellIs" dxfId="98" priority="1" operator="equal">
      <formula>0</formula>
    </cfRule>
  </conditionalFormatting>
  <dataValidations count="2">
    <dataValidation type="list" allowBlank="1" showInputMessage="1" showErrorMessage="1" sqref="G13 G17:G18 G20:G25 G65:G68 G47:G50 G56:G63 G27:G34 G36:G42 G70:G72" xr:uid="{DE440DAB-D4DE-4FC5-9658-0AD46701D1DC}">
      <formula1>Iva</formula1>
    </dataValidation>
    <dataValidation type="list" allowBlank="1" showInputMessage="1" showErrorMessage="1" sqref="H65:H68 H70 H17:H18 H37:H42 H13 H49:H50 H45" xr:uid="{E61CBF02-CEEF-4AF2-B2BF-0D41212F1EB0}">
      <formula1>irpf</formula1>
    </dataValidation>
  </dataValidations>
  <pageMargins left="0.7" right="0.7" top="0.75" bottom="0.75" header="0.3" footer="0.3"/>
  <pageSetup paperSize="9" scale="60" orientation="portrait" r:id="rId1"/>
  <ignoredErrors>
    <ignoredError sqref="L8:O8 I14:R14 U13:U14 I16:K16 I19:J19 U15:U16 I26:U26 I39:U39 I61:U61 R8 I64:U64 I69:U69 P16:R16 M16:N16 L16 O16 S16:T16 S43:U43 P43:Q43 M43 J43:K43 I43 L43 O43 R43 L19:U19 S14:T14 K19 L80:R80 I77 L77:R77 U77" formula="1"/>
  </ignoredErrors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autoPict="0" r:id="rId5">
            <anchor moveWithCells="1">
              <from>
                <xdr:col>1</xdr:col>
                <xdr:colOff>895350</xdr:colOff>
                <xdr:row>85</xdr:row>
                <xdr:rowOff>114300</xdr:rowOff>
              </from>
              <to>
                <xdr:col>1</xdr:col>
                <xdr:colOff>1562100</xdr:colOff>
                <xdr:row>86</xdr:row>
                <xdr:rowOff>142875</xdr:rowOff>
              </to>
            </anchor>
          </controlPr>
        </control>
      </mc:Choice>
      <mc:Fallback>
        <control shapeId="7169" r:id="rId4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C8D66E-750B-472B-AA97-FC4F5A93B6E0}">
          <x14:formula1>
            <xm:f>Taules!$E$4:$E$11</xm:f>
          </x14:formula1>
          <xm:sqref>F15 F17:F18 F20:F25 F9:F13 F65:F68 F44:F50 F40:F42 F78:F79 F62:F63 F75:F76 F27:F38 F56:F60 F70:F71</xm:sqref>
        </x14:dataValidation>
        <x14:dataValidation type="list" allowBlank="1" showInputMessage="1" showErrorMessage="1" xr:uid="{371F1E78-462D-4026-AD97-8757F60669D3}">
          <x14:formula1>
            <xm:f>Taules!$D$4:$D$7</xm:f>
          </x14:formula1>
          <xm:sqref>D13 D15 D17:D18 D20:D25 D65:D68 D44:D50 D56:D63 D27:D38 D40:D42 D78:D79 D75:D76 D70:D71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2E53-4A80-4653-9E26-215DD5183A42}">
  <sheetPr codeName="Hoja6"/>
  <dimension ref="B1:X81"/>
  <sheetViews>
    <sheetView topLeftCell="A57" zoomScaleNormal="100" workbookViewId="0">
      <selection activeCell="I76" sqref="I76"/>
    </sheetView>
  </sheetViews>
  <sheetFormatPr baseColWidth="10" defaultColWidth="9.140625" defaultRowHeight="15" outlineLevelRow="1"/>
  <cols>
    <col min="1" max="1" width="2.42578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5.7109375" style="4" bestFit="1" customWidth="1"/>
    <col min="24" max="24" width="26.85546875" style="4" bestFit="1" customWidth="1"/>
    <col min="25" max="16384" width="9.140625" style="4"/>
  </cols>
  <sheetData>
    <row r="1" spans="2:24" ht="5.25" customHeight="1"/>
    <row r="2" spans="2:24" ht="64.5" customHeight="1">
      <c r="B2" s="5"/>
      <c r="C2" s="137" t="s">
        <v>71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W2" s="159"/>
      <c r="X2" s="159"/>
    </row>
    <row r="3" spans="2:24" ht="6.75" customHeight="1"/>
    <row r="4" spans="2:24" ht="27" customHeight="1">
      <c r="B4" s="138" t="s">
        <v>0</v>
      </c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W4" s="162" t="s">
        <v>70</v>
      </c>
      <c r="X4" s="162"/>
    </row>
    <row r="5" spans="2:24" ht="15.75" customHeight="1" outlineLevel="1">
      <c r="B5" s="139" t="s">
        <v>98</v>
      </c>
      <c r="C5" s="139" t="s">
        <v>31</v>
      </c>
      <c r="D5" s="139"/>
      <c r="E5" s="139"/>
      <c r="F5" s="139"/>
      <c r="G5" s="142"/>
      <c r="H5" s="144"/>
      <c r="I5" s="140" t="s">
        <v>32</v>
      </c>
      <c r="J5" s="140"/>
      <c r="K5" s="140"/>
      <c r="L5" s="140"/>
      <c r="M5" s="140"/>
      <c r="N5" s="140"/>
      <c r="O5" s="140"/>
      <c r="P5" s="140"/>
      <c r="Q5" s="140"/>
      <c r="R5" s="140"/>
      <c r="S5" s="12"/>
      <c r="T5" s="12"/>
      <c r="U5" s="146" t="s">
        <v>68</v>
      </c>
      <c r="W5" s="162"/>
      <c r="X5" s="162"/>
    </row>
    <row r="6" spans="2:24" ht="12" customHeight="1" outlineLevel="1">
      <c r="B6" s="140"/>
      <c r="C6" s="149" t="s">
        <v>35</v>
      </c>
      <c r="D6" s="149" t="s">
        <v>47</v>
      </c>
      <c r="E6" s="149" t="s">
        <v>36</v>
      </c>
      <c r="F6" s="149" t="s">
        <v>44</v>
      </c>
      <c r="G6" s="160"/>
      <c r="H6" s="161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2"/>
      <c r="T6" s="12"/>
      <c r="U6" s="147"/>
      <c r="W6" s="162"/>
      <c r="X6" s="162"/>
    </row>
    <row r="7" spans="2:24" ht="20.25" customHeight="1" outlineLevel="1">
      <c r="B7" s="140"/>
      <c r="C7" s="149"/>
      <c r="D7" s="149"/>
      <c r="E7" s="149"/>
      <c r="F7" s="149"/>
      <c r="G7" s="69" t="s">
        <v>99</v>
      </c>
      <c r="H7" s="70" t="s">
        <v>100</v>
      </c>
      <c r="I7" s="13" t="s">
        <v>37</v>
      </c>
      <c r="J7" s="13" t="s">
        <v>45</v>
      </c>
      <c r="K7" s="13" t="s">
        <v>46</v>
      </c>
      <c r="L7" s="13" t="s">
        <v>38</v>
      </c>
      <c r="M7" s="13" t="s">
        <v>45</v>
      </c>
      <c r="N7" s="13" t="s">
        <v>46</v>
      </c>
      <c r="O7" s="13" t="s">
        <v>39</v>
      </c>
      <c r="P7" s="13" t="s">
        <v>45</v>
      </c>
      <c r="Q7" s="13" t="s">
        <v>46</v>
      </c>
      <c r="R7" s="13" t="s">
        <v>40</v>
      </c>
      <c r="S7" s="13" t="s">
        <v>45</v>
      </c>
      <c r="T7" s="13" t="s">
        <v>46</v>
      </c>
      <c r="U7" s="147"/>
      <c r="W7" s="162"/>
      <c r="X7" s="162"/>
    </row>
    <row r="8" spans="2:24" ht="15.95" customHeight="1" outlineLevel="1">
      <c r="B8" s="16" t="s">
        <v>1</v>
      </c>
      <c r="C8" s="41"/>
      <c r="D8" s="42"/>
      <c r="E8" s="41"/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1">
        <f>SUM(I8,L8,O8,R8)</f>
        <v>0</v>
      </c>
      <c r="W8" s="6" t="s">
        <v>43</v>
      </c>
      <c r="X8" s="7" t="s">
        <v>34</v>
      </c>
    </row>
    <row r="9" spans="2:24" ht="15" customHeight="1" outlineLevel="1">
      <c r="B9" s="24" t="s">
        <v>13</v>
      </c>
      <c r="C9" s="88"/>
      <c r="D9" s="63"/>
      <c r="E9" s="28"/>
      <c r="F9" s="66" t="s">
        <v>43</v>
      </c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  <c r="W9" s="6" t="s">
        <v>41</v>
      </c>
      <c r="X9" s="7" t="s">
        <v>32</v>
      </c>
    </row>
    <row r="10" spans="2:24" ht="15" customHeight="1" outlineLevel="1">
      <c r="B10" s="25" t="s">
        <v>61</v>
      </c>
      <c r="C10" s="89"/>
      <c r="D10" s="64"/>
      <c r="E10" s="32"/>
      <c r="F10" s="67" t="s">
        <v>43</v>
      </c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  <c r="W10" s="6" t="s">
        <v>48</v>
      </c>
      <c r="X10" s="7" t="s">
        <v>54</v>
      </c>
    </row>
    <row r="11" spans="2:24" ht="15" customHeight="1" outlineLevel="1">
      <c r="B11" s="26" t="s">
        <v>88</v>
      </c>
      <c r="C11" s="89"/>
      <c r="D11" s="64"/>
      <c r="E11" s="32"/>
      <c r="F11" s="67" t="s">
        <v>43</v>
      </c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  <c r="W11" s="6" t="s">
        <v>49</v>
      </c>
      <c r="X11" s="7" t="s">
        <v>55</v>
      </c>
    </row>
    <row r="12" spans="2:24" ht="15" customHeight="1" outlineLevel="1">
      <c r="B12" s="26" t="s">
        <v>89</v>
      </c>
      <c r="C12" s="90"/>
      <c r="D12" s="65"/>
      <c r="E12" s="58"/>
      <c r="F12" s="68" t="s">
        <v>43</v>
      </c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  <c r="W12" s="6" t="s">
        <v>50</v>
      </c>
      <c r="X12" s="7" t="s">
        <v>56</v>
      </c>
    </row>
    <row r="13" spans="2:24" ht="15" customHeight="1" outlineLevel="1">
      <c r="B13" s="27" t="s">
        <v>14</v>
      </c>
      <c r="C13" s="22"/>
      <c r="D13" s="20"/>
      <c r="E13" s="22"/>
      <c r="F13" s="20"/>
      <c r="G13" s="23"/>
      <c r="H13" s="21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0">
        <f>CalcIva($G13,$H13,$L13)</f>
        <v>0</v>
      </c>
      <c r="N13" s="50">
        <f>CalcIrpf($G13,$H13,$L13)</f>
        <v>0</v>
      </c>
      <c r="O13" s="46">
        <f>Import3T($C13,$D13,$E13,$F13)</f>
        <v>0</v>
      </c>
      <c r="P13" s="50">
        <f>CalcIva($G13,$H13,$O13)</f>
        <v>0</v>
      </c>
      <c r="Q13" s="50">
        <f>CalcIrpf($G13,$H13,$O13)</f>
        <v>0</v>
      </c>
      <c r="R13" s="46">
        <f>Import4T($C13,$D13,$E13,$F13)</f>
        <v>0</v>
      </c>
      <c r="S13" s="50">
        <f>CalcIva($G13,$H13,$R13)</f>
        <v>0</v>
      </c>
      <c r="T13" s="50">
        <f>CalcIrpf($G13,$H13,$R13)</f>
        <v>0</v>
      </c>
      <c r="U13" s="47">
        <f>SUM($I13,$L13,$O13,$R13)</f>
        <v>0</v>
      </c>
      <c r="W13" s="6" t="s">
        <v>51</v>
      </c>
      <c r="X13" s="7" t="s">
        <v>58</v>
      </c>
    </row>
    <row r="14" spans="2:24" ht="15.95" customHeight="1" outlineLevel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T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>SUM(I14,L14,O14,R14)</f>
        <v>0</v>
      </c>
      <c r="W14" s="6" t="s">
        <v>101</v>
      </c>
      <c r="X14" s="7" t="s">
        <v>57</v>
      </c>
    </row>
    <row r="15" spans="2:24" ht="15" customHeight="1" outlineLevel="1">
      <c r="B15" s="44" t="s">
        <v>33</v>
      </c>
      <c r="C15" s="22"/>
      <c r="D15" s="20"/>
      <c r="E15" s="22"/>
      <c r="F15" s="20"/>
      <c r="G15" s="17"/>
      <c r="H15" s="17"/>
      <c r="I15" s="17">
        <f>Import1T($C15,$D15,$E15,$F15)</f>
        <v>0</v>
      </c>
      <c r="J15" s="50">
        <f>CalcIva($G15,$H15,$I15)</f>
        <v>0</v>
      </c>
      <c r="K15" s="50">
        <f>CalcIrpf($G15,$H15,$I15)</f>
        <v>0</v>
      </c>
      <c r="L15" s="17">
        <f>Import2T($C15,$D15,$E15,$F15)</f>
        <v>0</v>
      </c>
      <c r="M15" s="50">
        <f>CalcIva($G15,$H15,$L15)</f>
        <v>0</v>
      </c>
      <c r="N15" s="50">
        <f>CalcIrpf($G15,$H15,$L15)</f>
        <v>0</v>
      </c>
      <c r="O15" s="17">
        <f>Import3T($C15,$D15,$E15,$F15)</f>
        <v>0</v>
      </c>
      <c r="P15" s="50">
        <f>CalcIva($G15,$H15,$O15)</f>
        <v>0</v>
      </c>
      <c r="Q15" s="50">
        <f>CalcIrpf($G15,$H15,$O15)</f>
        <v>0</v>
      </c>
      <c r="R15" s="17">
        <f>Import4T($C15,$D15,$E15,$F15)</f>
        <v>0</v>
      </c>
      <c r="S15" s="50">
        <f>CalcIva($G15,$H15,$R15)</f>
        <v>0</v>
      </c>
      <c r="T15" s="50">
        <f>CalcIrpf($G15,$H15,$R15)</f>
        <v>0</v>
      </c>
      <c r="U15" s="18">
        <f>SUM($I15,$L15,$O15,$R15)</f>
        <v>0</v>
      </c>
      <c r="W15" s="6" t="s">
        <v>53</v>
      </c>
      <c r="X15" s="7" t="s">
        <v>59</v>
      </c>
    </row>
    <row r="16" spans="2:24" ht="15.95" customHeight="1" outlineLevel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T16" si="1">SUM(I17:I18)</f>
        <v>0</v>
      </c>
      <c r="J16" s="41">
        <f t="shared" si="1"/>
        <v>0</v>
      </c>
      <c r="K16" s="41">
        <f t="shared" si="1"/>
        <v>0</v>
      </c>
      <c r="L16" s="41">
        <f t="shared" si="1"/>
        <v>0</v>
      </c>
      <c r="M16" s="41">
        <f t="shared" si="1"/>
        <v>0</v>
      </c>
      <c r="N16" s="41">
        <f t="shared" si="1"/>
        <v>0</v>
      </c>
      <c r="O16" s="41">
        <f t="shared" si="1"/>
        <v>0</v>
      </c>
      <c r="P16" s="41">
        <f t="shared" si="1"/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>SUM(I16,L16,O16,R16)</f>
        <v>0</v>
      </c>
    </row>
    <row r="17" spans="2:23" ht="15" customHeight="1" outlineLevel="1">
      <c r="B17" s="44" t="s">
        <v>3</v>
      </c>
      <c r="C17" s="28"/>
      <c r="D17" s="29"/>
      <c r="E17" s="28"/>
      <c r="F17" s="29"/>
      <c r="G17" s="30"/>
      <c r="H17" s="31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 outlineLevel="1">
      <c r="B18" s="27" t="s">
        <v>11</v>
      </c>
      <c r="C18" s="22"/>
      <c r="D18" s="20"/>
      <c r="E18" s="22"/>
      <c r="F18" s="20"/>
      <c r="G18" s="23"/>
      <c r="H18" s="21"/>
      <c r="I18" s="46">
        <f t="shared" si="2"/>
        <v>0</v>
      </c>
      <c r="J18" s="50">
        <f t="shared" si="3"/>
        <v>0</v>
      </c>
      <c r="K18" s="50">
        <f t="shared" si="4"/>
        <v>0</v>
      </c>
      <c r="L18" s="46">
        <f t="shared" si="5"/>
        <v>0</v>
      </c>
      <c r="M18" s="50">
        <f t="shared" si="6"/>
        <v>0</v>
      </c>
      <c r="N18" s="50">
        <f t="shared" si="7"/>
        <v>0</v>
      </c>
      <c r="O18" s="46">
        <f t="shared" si="8"/>
        <v>0</v>
      </c>
      <c r="P18" s="50">
        <f t="shared" si="9"/>
        <v>0</v>
      </c>
      <c r="Q18" s="50">
        <f t="shared" si="10"/>
        <v>0</v>
      </c>
      <c r="R18" s="46">
        <f t="shared" si="11"/>
        <v>0</v>
      </c>
      <c r="S18" s="50">
        <f t="shared" si="12"/>
        <v>0</v>
      </c>
      <c r="T18" s="50">
        <f t="shared" si="13"/>
        <v>0</v>
      </c>
      <c r="U18" s="47">
        <f>SUM($I18,$L18,$O18,$R18)</f>
        <v>0</v>
      </c>
    </row>
    <row r="19" spans="2:23" ht="15.95" customHeight="1" outlineLevel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T19" si="14">SUM(I20:I25)</f>
        <v>0</v>
      </c>
      <c r="J19" s="41">
        <f t="shared" si="14"/>
        <v>0</v>
      </c>
      <c r="K19" s="41">
        <f t="shared" si="14"/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>SUM(I19,L19,O19,R19)</f>
        <v>0</v>
      </c>
    </row>
    <row r="20" spans="2:23" ht="15" customHeight="1" outlineLevel="1">
      <c r="B20" s="44" t="s">
        <v>22</v>
      </c>
      <c r="C20" s="28"/>
      <c r="D20" s="29"/>
      <c r="E20" s="28"/>
      <c r="F20" s="29"/>
      <c r="G20" s="30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>
        <f t="shared" ref="K20:K25" si="17">CalcIrpf($G20,$H20,$I20)</f>
        <v>0</v>
      </c>
      <c r="L20" s="17">
        <f t="shared" ref="L20:L25" si="18">Import2T($C20,$D20,$E20,$F20)</f>
        <v>0</v>
      </c>
      <c r="M20" s="50">
        <f t="shared" ref="M20:M25" si="19">CalcIva($G20,$H20,$L20)</f>
        <v>0</v>
      </c>
      <c r="N20" s="50">
        <f t="shared" ref="N20:N25" si="20">CalcIrpf($G20,$H20,$L20)</f>
        <v>0</v>
      </c>
      <c r="O20" s="17">
        <f t="shared" ref="O20:O25" si="21">Import3T($C20,$D20,$E20,$F20)</f>
        <v>0</v>
      </c>
      <c r="P20" s="50">
        <f t="shared" ref="P20:P25" si="22">CalcIva($G20,$H20,$O20)</f>
        <v>0</v>
      </c>
      <c r="Q20" s="50">
        <f t="shared" ref="Q20:Q25" si="23">CalcIrpf($G20,$H20,$O20)</f>
        <v>0</v>
      </c>
      <c r="R20" s="17">
        <f t="shared" ref="R20:R25" si="24">Import4T($C20,$D20,$E20,$F20)</f>
        <v>0</v>
      </c>
      <c r="S20" s="50">
        <f t="shared" ref="S20:S25" si="25">CalcIva($G20,$H20,$R20)</f>
        <v>0</v>
      </c>
      <c r="T20" s="50">
        <f t="shared" ref="T20:T25" si="26">CalcIrpf($G20,$H20,$R20)</f>
        <v>0</v>
      </c>
      <c r="U20" s="18">
        <f t="shared" ref="U20:U25" si="27">SUM($I20,$L20,$O20,$R20)</f>
        <v>0</v>
      </c>
    </row>
    <row r="21" spans="2:23" ht="15" customHeight="1" outlineLevel="1">
      <c r="B21" s="27" t="s">
        <v>23</v>
      </c>
      <c r="C21" s="32"/>
      <c r="D21" s="33"/>
      <c r="E21" s="32"/>
      <c r="F21" s="33"/>
      <c r="G21" s="34"/>
      <c r="H21" s="17"/>
      <c r="I21" s="17">
        <f t="shared" si="15"/>
        <v>0</v>
      </c>
      <c r="J21" s="50">
        <f t="shared" si="16"/>
        <v>0</v>
      </c>
      <c r="K21" s="50">
        <f t="shared" si="17"/>
        <v>0</v>
      </c>
      <c r="L21" s="17">
        <f t="shared" si="18"/>
        <v>0</v>
      </c>
      <c r="M21" s="50">
        <f t="shared" si="19"/>
        <v>0</v>
      </c>
      <c r="N21" s="50">
        <f t="shared" si="20"/>
        <v>0</v>
      </c>
      <c r="O21" s="17">
        <f t="shared" si="21"/>
        <v>0</v>
      </c>
      <c r="P21" s="50">
        <f t="shared" si="22"/>
        <v>0</v>
      </c>
      <c r="Q21" s="50">
        <f t="shared" si="23"/>
        <v>0</v>
      </c>
      <c r="R21" s="17">
        <f t="shared" si="24"/>
        <v>0</v>
      </c>
      <c r="S21" s="50">
        <f t="shared" si="25"/>
        <v>0</v>
      </c>
      <c r="T21" s="50">
        <f t="shared" si="26"/>
        <v>0</v>
      </c>
      <c r="U21" s="18">
        <f t="shared" si="27"/>
        <v>0</v>
      </c>
    </row>
    <row r="22" spans="2:23" ht="15" customHeight="1" outlineLevel="1">
      <c r="B22" s="27" t="s">
        <v>24</v>
      </c>
      <c r="C22" s="32"/>
      <c r="D22" s="33"/>
      <c r="E22" s="32"/>
      <c r="F22" s="33"/>
      <c r="G22" s="34"/>
      <c r="H22" s="17"/>
      <c r="I22" s="17">
        <f t="shared" si="15"/>
        <v>0</v>
      </c>
      <c r="J22" s="50">
        <f t="shared" si="16"/>
        <v>0</v>
      </c>
      <c r="K22" s="50">
        <f t="shared" si="17"/>
        <v>0</v>
      </c>
      <c r="L22" s="17">
        <f t="shared" si="18"/>
        <v>0</v>
      </c>
      <c r="M22" s="50">
        <f t="shared" si="19"/>
        <v>0</v>
      </c>
      <c r="N22" s="50">
        <f t="shared" si="20"/>
        <v>0</v>
      </c>
      <c r="O22" s="17">
        <f t="shared" si="21"/>
        <v>0</v>
      </c>
      <c r="P22" s="50">
        <f t="shared" si="22"/>
        <v>0</v>
      </c>
      <c r="Q22" s="50">
        <f t="shared" si="23"/>
        <v>0</v>
      </c>
      <c r="R22" s="17">
        <f t="shared" si="24"/>
        <v>0</v>
      </c>
      <c r="S22" s="50">
        <f t="shared" si="25"/>
        <v>0</v>
      </c>
      <c r="T22" s="50">
        <f t="shared" si="26"/>
        <v>0</v>
      </c>
      <c r="U22" s="18">
        <f t="shared" si="27"/>
        <v>0</v>
      </c>
    </row>
    <row r="23" spans="2:23" ht="15" customHeight="1" outlineLevel="1">
      <c r="B23" s="27" t="s">
        <v>25</v>
      </c>
      <c r="C23" s="32"/>
      <c r="D23" s="33"/>
      <c r="E23" s="32"/>
      <c r="F23" s="33"/>
      <c r="G23" s="34"/>
      <c r="H23" s="17"/>
      <c r="I23" s="17">
        <f t="shared" si="15"/>
        <v>0</v>
      </c>
      <c r="J23" s="50">
        <f t="shared" si="16"/>
        <v>0</v>
      </c>
      <c r="K23" s="50">
        <f t="shared" si="17"/>
        <v>0</v>
      </c>
      <c r="L23" s="17">
        <f t="shared" si="18"/>
        <v>0</v>
      </c>
      <c r="M23" s="50">
        <f t="shared" si="19"/>
        <v>0</v>
      </c>
      <c r="N23" s="50">
        <f t="shared" si="20"/>
        <v>0</v>
      </c>
      <c r="O23" s="17">
        <f t="shared" si="21"/>
        <v>0</v>
      </c>
      <c r="P23" s="50">
        <f t="shared" si="22"/>
        <v>0</v>
      </c>
      <c r="Q23" s="50">
        <f t="shared" si="23"/>
        <v>0</v>
      </c>
      <c r="R23" s="17">
        <f t="shared" si="24"/>
        <v>0</v>
      </c>
      <c r="S23" s="50">
        <f t="shared" si="25"/>
        <v>0</v>
      </c>
      <c r="T23" s="50">
        <f t="shared" si="26"/>
        <v>0</v>
      </c>
      <c r="U23" s="18">
        <f t="shared" si="27"/>
        <v>0</v>
      </c>
    </row>
    <row r="24" spans="2:23" ht="15" customHeight="1" outlineLevel="1">
      <c r="B24" s="27" t="s">
        <v>26</v>
      </c>
      <c r="C24" s="32"/>
      <c r="D24" s="33"/>
      <c r="E24" s="32"/>
      <c r="F24" s="33"/>
      <c r="G24" s="34"/>
      <c r="H24" s="17"/>
      <c r="I24" s="17">
        <f t="shared" si="15"/>
        <v>0</v>
      </c>
      <c r="J24" s="50">
        <f t="shared" si="16"/>
        <v>0</v>
      </c>
      <c r="K24" s="50">
        <f t="shared" si="17"/>
        <v>0</v>
      </c>
      <c r="L24" s="17">
        <f t="shared" si="18"/>
        <v>0</v>
      </c>
      <c r="M24" s="50">
        <f t="shared" si="19"/>
        <v>0</v>
      </c>
      <c r="N24" s="50">
        <f t="shared" si="20"/>
        <v>0</v>
      </c>
      <c r="O24" s="17">
        <f t="shared" si="21"/>
        <v>0</v>
      </c>
      <c r="P24" s="50">
        <f t="shared" si="22"/>
        <v>0</v>
      </c>
      <c r="Q24" s="50">
        <f t="shared" si="23"/>
        <v>0</v>
      </c>
      <c r="R24" s="17">
        <f t="shared" si="24"/>
        <v>0</v>
      </c>
      <c r="S24" s="50">
        <f t="shared" si="25"/>
        <v>0</v>
      </c>
      <c r="T24" s="50">
        <f t="shared" si="26"/>
        <v>0</v>
      </c>
      <c r="U24" s="18">
        <f t="shared" si="27"/>
        <v>0</v>
      </c>
    </row>
    <row r="25" spans="2:23" ht="15" customHeight="1" outlineLevel="1">
      <c r="B25" s="27" t="s">
        <v>27</v>
      </c>
      <c r="C25" s="36"/>
      <c r="D25" s="37"/>
      <c r="E25" s="36"/>
      <c r="F25" s="37"/>
      <c r="G25" s="38"/>
      <c r="H25" s="17"/>
      <c r="I25" s="46">
        <f t="shared" si="15"/>
        <v>0</v>
      </c>
      <c r="J25" s="50">
        <f t="shared" si="16"/>
        <v>0</v>
      </c>
      <c r="K25" s="50">
        <f t="shared" si="17"/>
        <v>0</v>
      </c>
      <c r="L25" s="46">
        <f t="shared" si="18"/>
        <v>0</v>
      </c>
      <c r="M25" s="50">
        <f t="shared" si="19"/>
        <v>0</v>
      </c>
      <c r="N25" s="50">
        <f t="shared" si="20"/>
        <v>0</v>
      </c>
      <c r="O25" s="46">
        <f t="shared" si="21"/>
        <v>0</v>
      </c>
      <c r="P25" s="50">
        <f t="shared" si="22"/>
        <v>0</v>
      </c>
      <c r="Q25" s="50">
        <f t="shared" si="23"/>
        <v>0</v>
      </c>
      <c r="R25" s="46">
        <f t="shared" si="24"/>
        <v>0</v>
      </c>
      <c r="S25" s="50">
        <f t="shared" si="25"/>
        <v>0</v>
      </c>
      <c r="T25" s="50">
        <f t="shared" si="26"/>
        <v>0</v>
      </c>
      <c r="U25" s="47">
        <f t="shared" si="27"/>
        <v>0</v>
      </c>
    </row>
    <row r="26" spans="2:23" ht="15.95" customHeight="1" outlineLevel="1">
      <c r="B26" s="43" t="s">
        <v>9</v>
      </c>
      <c r="C26" s="41">
        <f>SUM(C27:C36)</f>
        <v>0</v>
      </c>
      <c r="D26" s="41"/>
      <c r="E26" s="41">
        <f>SUM(E27:E36)</f>
        <v>0</v>
      </c>
      <c r="F26" s="41"/>
      <c r="G26" s="41"/>
      <c r="H26" s="41"/>
      <c r="I26" s="41">
        <f>SUM(I27:I38)</f>
        <v>0</v>
      </c>
      <c r="J26" s="41">
        <f t="shared" ref="J26:T26" si="28">SUM(J27:J38)</f>
        <v>0</v>
      </c>
      <c r="K26" s="41">
        <f t="shared" si="28"/>
        <v>0</v>
      </c>
      <c r="L26" s="41">
        <f t="shared" si="28"/>
        <v>0</v>
      </c>
      <c r="M26" s="41">
        <f t="shared" si="28"/>
        <v>0</v>
      </c>
      <c r="N26" s="41">
        <f t="shared" si="28"/>
        <v>0</v>
      </c>
      <c r="O26" s="41">
        <f t="shared" si="28"/>
        <v>0</v>
      </c>
      <c r="P26" s="41">
        <f t="shared" si="28"/>
        <v>0</v>
      </c>
      <c r="Q26" s="41">
        <f t="shared" si="28"/>
        <v>0</v>
      </c>
      <c r="R26" s="41">
        <f t="shared" si="28"/>
        <v>0</v>
      </c>
      <c r="S26" s="41">
        <f t="shared" si="28"/>
        <v>0</v>
      </c>
      <c r="T26" s="41">
        <f t="shared" si="28"/>
        <v>0</v>
      </c>
      <c r="U26" s="48">
        <f>SUM(I26,L26,O26,R26)</f>
        <v>0</v>
      </c>
    </row>
    <row r="27" spans="2:23" ht="15" customHeight="1" outlineLevel="1">
      <c r="B27" s="44" t="s">
        <v>95</v>
      </c>
      <c r="C27" s="28"/>
      <c r="D27" s="29"/>
      <c r="E27" s="28"/>
      <c r="F27" s="29"/>
      <c r="G27" s="30"/>
      <c r="H27" s="17"/>
      <c r="I27" s="17">
        <f t="shared" ref="I27:I36" si="29">Import1T($C27,$D27,$E27,$F27)</f>
        <v>0</v>
      </c>
      <c r="J27" s="50">
        <f t="shared" ref="J27:J36" si="30">CalcIva($G27,$H27,$I27)</f>
        <v>0</v>
      </c>
      <c r="K27" s="50">
        <f t="shared" ref="K27:K34" si="31">CalcIrpf($G27,$H27,$I27)</f>
        <v>0</v>
      </c>
      <c r="L27" s="17">
        <f t="shared" ref="L27:L36" si="32">Import2T($C27,$D27,$E27,$F27)</f>
        <v>0</v>
      </c>
      <c r="M27" s="50">
        <f t="shared" ref="M27:M36" si="33">CalcIva($G27,$H27,$L27)</f>
        <v>0</v>
      </c>
      <c r="N27" s="50">
        <f t="shared" ref="N27:N34" si="34">CalcIrpf($G27,$H27,$L27)</f>
        <v>0</v>
      </c>
      <c r="O27" s="17">
        <f t="shared" ref="O27:O36" si="35">Import3T($C27,$D27,$E27,$F27)</f>
        <v>0</v>
      </c>
      <c r="P27" s="50">
        <f t="shared" ref="P27:P36" si="36">CalcIva($G27,$H27,$O27)</f>
        <v>0</v>
      </c>
      <c r="Q27" s="50">
        <f t="shared" ref="Q27:Q34" si="37">CalcIrpf($G27,$H27,$O27)</f>
        <v>0</v>
      </c>
      <c r="R27" s="17">
        <f t="shared" ref="R27:R36" si="38">Import4T($C27,$D27,$E27,$F27)</f>
        <v>0</v>
      </c>
      <c r="S27" s="50">
        <f t="shared" ref="S27:S36" si="39">CalcIva($G27,$H27,$R27)</f>
        <v>0</v>
      </c>
      <c r="T27" s="50">
        <f t="shared" ref="T27:T34" si="40">CalcIrpf($G27,$H27,$R27)</f>
        <v>0</v>
      </c>
      <c r="U27" s="18">
        <f t="shared" ref="U27:U36" si="41">SUM($I27,$L27,$O27,$R27)</f>
        <v>0</v>
      </c>
    </row>
    <row r="28" spans="2:23" ht="15" customHeight="1" outlineLevel="1">
      <c r="B28" s="27" t="s">
        <v>4</v>
      </c>
      <c r="C28" s="32"/>
      <c r="D28" s="33"/>
      <c r="E28" s="32"/>
      <c r="F28" s="33"/>
      <c r="G28" s="34"/>
      <c r="H28" s="17"/>
      <c r="I28" s="17">
        <f t="shared" si="29"/>
        <v>0</v>
      </c>
      <c r="J28" s="50">
        <f t="shared" si="30"/>
        <v>0</v>
      </c>
      <c r="K28" s="50">
        <f t="shared" si="31"/>
        <v>0</v>
      </c>
      <c r="L28" s="17">
        <f t="shared" si="32"/>
        <v>0</v>
      </c>
      <c r="M28" s="50">
        <f t="shared" si="33"/>
        <v>0</v>
      </c>
      <c r="N28" s="50">
        <f t="shared" si="34"/>
        <v>0</v>
      </c>
      <c r="O28" s="17">
        <f t="shared" si="35"/>
        <v>0</v>
      </c>
      <c r="P28" s="50">
        <f t="shared" si="36"/>
        <v>0</v>
      </c>
      <c r="Q28" s="50">
        <f t="shared" si="37"/>
        <v>0</v>
      </c>
      <c r="R28" s="17">
        <f t="shared" si="38"/>
        <v>0</v>
      </c>
      <c r="S28" s="50">
        <f t="shared" si="39"/>
        <v>0</v>
      </c>
      <c r="T28" s="50">
        <f t="shared" si="40"/>
        <v>0</v>
      </c>
      <c r="U28" s="18">
        <f t="shared" si="41"/>
        <v>0</v>
      </c>
    </row>
    <row r="29" spans="2:23" ht="15" customHeight="1" outlineLevel="1">
      <c r="B29" s="27" t="s">
        <v>18</v>
      </c>
      <c r="C29" s="32"/>
      <c r="D29" s="33"/>
      <c r="E29" s="32"/>
      <c r="F29" s="33"/>
      <c r="G29" s="34"/>
      <c r="H29" s="17"/>
      <c r="I29" s="17">
        <f t="shared" si="29"/>
        <v>0</v>
      </c>
      <c r="J29" s="50">
        <f t="shared" si="30"/>
        <v>0</v>
      </c>
      <c r="K29" s="50">
        <f t="shared" si="31"/>
        <v>0</v>
      </c>
      <c r="L29" s="17">
        <f t="shared" si="32"/>
        <v>0</v>
      </c>
      <c r="M29" s="50">
        <f t="shared" si="33"/>
        <v>0</v>
      </c>
      <c r="N29" s="50">
        <f t="shared" si="34"/>
        <v>0</v>
      </c>
      <c r="O29" s="17">
        <f t="shared" si="35"/>
        <v>0</v>
      </c>
      <c r="P29" s="50">
        <f t="shared" si="36"/>
        <v>0</v>
      </c>
      <c r="Q29" s="50">
        <f t="shared" si="37"/>
        <v>0</v>
      </c>
      <c r="R29" s="17">
        <f t="shared" si="38"/>
        <v>0</v>
      </c>
      <c r="S29" s="50">
        <f t="shared" si="39"/>
        <v>0</v>
      </c>
      <c r="T29" s="50">
        <f t="shared" si="40"/>
        <v>0</v>
      </c>
      <c r="U29" s="18">
        <f t="shared" si="41"/>
        <v>0</v>
      </c>
    </row>
    <row r="30" spans="2:23" ht="15" customHeight="1" outlineLevel="1">
      <c r="B30" s="27" t="s">
        <v>19</v>
      </c>
      <c r="C30" s="32"/>
      <c r="D30" s="33"/>
      <c r="E30" s="32"/>
      <c r="F30" s="33"/>
      <c r="G30" s="34"/>
      <c r="H30" s="17"/>
      <c r="I30" s="17">
        <f t="shared" si="29"/>
        <v>0</v>
      </c>
      <c r="J30" s="50">
        <f t="shared" si="30"/>
        <v>0</v>
      </c>
      <c r="K30" s="50">
        <f t="shared" si="31"/>
        <v>0</v>
      </c>
      <c r="L30" s="17">
        <f t="shared" si="32"/>
        <v>0</v>
      </c>
      <c r="M30" s="50">
        <f t="shared" si="33"/>
        <v>0</v>
      </c>
      <c r="N30" s="50">
        <f t="shared" si="34"/>
        <v>0</v>
      </c>
      <c r="O30" s="17">
        <f t="shared" si="35"/>
        <v>0</v>
      </c>
      <c r="P30" s="50">
        <f t="shared" si="36"/>
        <v>0</v>
      </c>
      <c r="Q30" s="50">
        <f t="shared" si="37"/>
        <v>0</v>
      </c>
      <c r="R30" s="17">
        <f t="shared" si="38"/>
        <v>0</v>
      </c>
      <c r="S30" s="50">
        <f t="shared" si="39"/>
        <v>0</v>
      </c>
      <c r="T30" s="50">
        <f t="shared" si="40"/>
        <v>0</v>
      </c>
      <c r="U30" s="18">
        <f t="shared" si="41"/>
        <v>0</v>
      </c>
    </row>
    <row r="31" spans="2:23" ht="15" customHeight="1" outlineLevel="1">
      <c r="B31" s="27" t="s">
        <v>16</v>
      </c>
      <c r="C31" s="32"/>
      <c r="D31" s="33"/>
      <c r="E31" s="32"/>
      <c r="F31" s="33"/>
      <c r="G31" s="34"/>
      <c r="H31" s="17"/>
      <c r="I31" s="17">
        <f t="shared" si="29"/>
        <v>0</v>
      </c>
      <c r="J31" s="50">
        <f t="shared" si="30"/>
        <v>0</v>
      </c>
      <c r="K31" s="50">
        <f t="shared" si="31"/>
        <v>0</v>
      </c>
      <c r="L31" s="17">
        <f t="shared" si="32"/>
        <v>0</v>
      </c>
      <c r="M31" s="50">
        <f t="shared" si="33"/>
        <v>0</v>
      </c>
      <c r="N31" s="50">
        <f t="shared" si="34"/>
        <v>0</v>
      </c>
      <c r="O31" s="17">
        <f t="shared" si="35"/>
        <v>0</v>
      </c>
      <c r="P31" s="50">
        <f t="shared" si="36"/>
        <v>0</v>
      </c>
      <c r="Q31" s="50">
        <f t="shared" si="37"/>
        <v>0</v>
      </c>
      <c r="R31" s="17">
        <f t="shared" si="38"/>
        <v>0</v>
      </c>
      <c r="S31" s="50">
        <f t="shared" si="39"/>
        <v>0</v>
      </c>
      <c r="T31" s="50">
        <f t="shared" si="40"/>
        <v>0</v>
      </c>
      <c r="U31" s="18">
        <f t="shared" si="41"/>
        <v>0</v>
      </c>
    </row>
    <row r="32" spans="2:23" ht="15" customHeight="1" outlineLevel="1">
      <c r="B32" s="27" t="s">
        <v>17</v>
      </c>
      <c r="C32" s="32"/>
      <c r="D32" s="33"/>
      <c r="E32" s="32"/>
      <c r="F32" s="33"/>
      <c r="G32" s="34"/>
      <c r="H32" s="17"/>
      <c r="I32" s="17">
        <f t="shared" si="29"/>
        <v>0</v>
      </c>
      <c r="J32" s="50">
        <f t="shared" si="30"/>
        <v>0</v>
      </c>
      <c r="K32" s="50">
        <f t="shared" si="31"/>
        <v>0</v>
      </c>
      <c r="L32" s="17">
        <f t="shared" si="32"/>
        <v>0</v>
      </c>
      <c r="M32" s="50">
        <f t="shared" si="33"/>
        <v>0</v>
      </c>
      <c r="N32" s="50">
        <f t="shared" si="34"/>
        <v>0</v>
      </c>
      <c r="O32" s="17">
        <f t="shared" si="35"/>
        <v>0</v>
      </c>
      <c r="P32" s="50">
        <f t="shared" si="36"/>
        <v>0</v>
      </c>
      <c r="Q32" s="50">
        <f t="shared" si="37"/>
        <v>0</v>
      </c>
      <c r="R32" s="17">
        <f t="shared" si="38"/>
        <v>0</v>
      </c>
      <c r="S32" s="50">
        <f t="shared" si="39"/>
        <v>0</v>
      </c>
      <c r="T32" s="50">
        <f t="shared" si="40"/>
        <v>0</v>
      </c>
      <c r="U32" s="18">
        <f t="shared" si="41"/>
        <v>0</v>
      </c>
    </row>
    <row r="33" spans="2:21" ht="15" customHeight="1" outlineLevel="1">
      <c r="B33" s="27" t="s">
        <v>12</v>
      </c>
      <c r="C33" s="32"/>
      <c r="D33" s="33"/>
      <c r="E33" s="32"/>
      <c r="F33" s="33"/>
      <c r="G33" s="34"/>
      <c r="H33" s="17"/>
      <c r="I33" s="17">
        <f t="shared" si="29"/>
        <v>0</v>
      </c>
      <c r="J33" s="50">
        <f t="shared" si="30"/>
        <v>0</v>
      </c>
      <c r="K33" s="50">
        <f t="shared" si="31"/>
        <v>0</v>
      </c>
      <c r="L33" s="17">
        <f t="shared" si="32"/>
        <v>0</v>
      </c>
      <c r="M33" s="50">
        <f t="shared" si="33"/>
        <v>0</v>
      </c>
      <c r="N33" s="50">
        <f t="shared" si="34"/>
        <v>0</v>
      </c>
      <c r="O33" s="17">
        <f t="shared" si="35"/>
        <v>0</v>
      </c>
      <c r="P33" s="50">
        <f t="shared" si="36"/>
        <v>0</v>
      </c>
      <c r="Q33" s="50">
        <f t="shared" si="37"/>
        <v>0</v>
      </c>
      <c r="R33" s="17">
        <f t="shared" si="38"/>
        <v>0</v>
      </c>
      <c r="S33" s="50">
        <f t="shared" si="39"/>
        <v>0</v>
      </c>
      <c r="T33" s="50">
        <f t="shared" si="40"/>
        <v>0</v>
      </c>
      <c r="U33" s="18">
        <f t="shared" si="41"/>
        <v>0</v>
      </c>
    </row>
    <row r="34" spans="2:21" ht="15" customHeight="1" outlineLevel="1">
      <c r="B34" s="27" t="s">
        <v>5</v>
      </c>
      <c r="C34" s="32"/>
      <c r="D34" s="33"/>
      <c r="E34" s="32"/>
      <c r="F34" s="33"/>
      <c r="G34" s="34"/>
      <c r="H34" s="17"/>
      <c r="I34" s="17">
        <f t="shared" si="29"/>
        <v>0</v>
      </c>
      <c r="J34" s="50">
        <f t="shared" si="30"/>
        <v>0</v>
      </c>
      <c r="K34" s="50">
        <f t="shared" si="31"/>
        <v>0</v>
      </c>
      <c r="L34" s="17">
        <f t="shared" si="32"/>
        <v>0</v>
      </c>
      <c r="M34" s="50">
        <f t="shared" si="33"/>
        <v>0</v>
      </c>
      <c r="N34" s="50">
        <f t="shared" si="34"/>
        <v>0</v>
      </c>
      <c r="O34" s="17">
        <f t="shared" si="35"/>
        <v>0</v>
      </c>
      <c r="P34" s="50">
        <f t="shared" si="36"/>
        <v>0</v>
      </c>
      <c r="Q34" s="50">
        <f t="shared" si="37"/>
        <v>0</v>
      </c>
      <c r="R34" s="17">
        <f t="shared" si="38"/>
        <v>0</v>
      </c>
      <c r="S34" s="50">
        <f t="shared" si="39"/>
        <v>0</v>
      </c>
      <c r="T34" s="50">
        <f t="shared" si="40"/>
        <v>0</v>
      </c>
      <c r="U34" s="18">
        <f t="shared" si="41"/>
        <v>0</v>
      </c>
    </row>
    <row r="35" spans="2:21" ht="15" customHeight="1" outlineLevel="1">
      <c r="B35" s="27" t="s">
        <v>6</v>
      </c>
      <c r="C35" s="32"/>
      <c r="D35" s="33"/>
      <c r="E35" s="32"/>
      <c r="F35" s="33"/>
      <c r="G35" s="17"/>
      <c r="H35" s="17"/>
      <c r="I35" s="17">
        <f t="shared" si="29"/>
        <v>0</v>
      </c>
      <c r="J35" s="50"/>
      <c r="K35" s="50"/>
      <c r="L35" s="17">
        <f t="shared" si="32"/>
        <v>0</v>
      </c>
      <c r="M35" s="50"/>
      <c r="N35" s="50"/>
      <c r="O35" s="17">
        <f t="shared" si="35"/>
        <v>0</v>
      </c>
      <c r="P35" s="50"/>
      <c r="Q35" s="50"/>
      <c r="R35" s="17">
        <f t="shared" si="38"/>
        <v>0</v>
      </c>
      <c r="S35" s="50"/>
      <c r="T35" s="50"/>
      <c r="U35" s="18">
        <f t="shared" si="41"/>
        <v>0</v>
      </c>
    </row>
    <row r="36" spans="2:21" ht="15" customHeight="1" outlineLevel="1">
      <c r="B36" s="27" t="s">
        <v>94</v>
      </c>
      <c r="C36" s="32"/>
      <c r="D36" s="33"/>
      <c r="E36" s="32"/>
      <c r="F36" s="33"/>
      <c r="G36" s="34"/>
      <c r="H36" s="17"/>
      <c r="I36" s="17">
        <f t="shared" si="29"/>
        <v>0</v>
      </c>
      <c r="J36" s="50">
        <f t="shared" si="30"/>
        <v>0</v>
      </c>
      <c r="K36" s="50"/>
      <c r="L36" s="17">
        <f t="shared" si="32"/>
        <v>0</v>
      </c>
      <c r="M36" s="50">
        <f t="shared" si="33"/>
        <v>0</v>
      </c>
      <c r="N36" s="50"/>
      <c r="O36" s="17">
        <f t="shared" si="35"/>
        <v>0</v>
      </c>
      <c r="P36" s="50">
        <f t="shared" si="36"/>
        <v>0</v>
      </c>
      <c r="Q36" s="50"/>
      <c r="R36" s="17">
        <f t="shared" si="38"/>
        <v>0</v>
      </c>
      <c r="S36" s="50">
        <f t="shared" si="39"/>
        <v>0</v>
      </c>
      <c r="T36" s="50"/>
      <c r="U36" s="18">
        <f t="shared" si="41"/>
        <v>0</v>
      </c>
    </row>
    <row r="37" spans="2:21" ht="15" customHeight="1" outlineLevel="1">
      <c r="B37" s="27" t="s">
        <v>15</v>
      </c>
      <c r="C37" s="32"/>
      <c r="D37" s="33"/>
      <c r="E37" s="32"/>
      <c r="F37" s="33"/>
      <c r="G37" s="34"/>
      <c r="H37" s="35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 outlineLevel="1">
      <c r="B38" s="27" t="s">
        <v>60</v>
      </c>
      <c r="C38" s="32"/>
      <c r="D38" s="33"/>
      <c r="E38" s="32"/>
      <c r="F38" s="33"/>
      <c r="G38" s="34"/>
      <c r="H38" s="35"/>
      <c r="I38" s="17">
        <f>Import1T($C38,$D38,$E38,$F38)</f>
        <v>0</v>
      </c>
      <c r="J38" s="50">
        <f>CalcIva($G38,$H38,$I38)</f>
        <v>0</v>
      </c>
      <c r="K38" s="50">
        <f>CalcIrpf($G38,$H38,$I38)</f>
        <v>0</v>
      </c>
      <c r="L38" s="17">
        <f>Import2T($C38,$D38,$E38,$F38)</f>
        <v>0</v>
      </c>
      <c r="M38" s="50">
        <f>CalcIva($G38,$H38,$L38)</f>
        <v>0</v>
      </c>
      <c r="N38" s="50">
        <f>CalcIrpf($G38,$H38,$L38)</f>
        <v>0</v>
      </c>
      <c r="O38" s="17">
        <f>Import3T($C38,$D38,$E38,$F38)</f>
        <v>0</v>
      </c>
      <c r="P38" s="50">
        <f>CalcIva($G38,$H38,$O38)</f>
        <v>0</v>
      </c>
      <c r="Q38" s="50">
        <f>CalcIrpf($G38,$H38,$O38)</f>
        <v>0</v>
      </c>
      <c r="R38" s="17">
        <f>Import4T($C38,$D38,$E38,$F38)</f>
        <v>0</v>
      </c>
      <c r="S38" s="50">
        <f>CalcIva($G38,$H38,$R38)</f>
        <v>0</v>
      </c>
      <c r="T38" s="50">
        <f>CalcIrpf($G38,$H38,$R38)</f>
        <v>0</v>
      </c>
      <c r="U38" s="18">
        <f>SUM($I38,$L38,$O38,$R38)</f>
        <v>0</v>
      </c>
    </row>
    <row r="39" spans="2:21" ht="15.95" customHeight="1" outlineLevel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42">SUM(J40:J42)</f>
        <v>0</v>
      </c>
      <c r="K39" s="41">
        <f t="shared" si="42"/>
        <v>0</v>
      </c>
      <c r="L39" s="41">
        <f>SUM(L40:L42)</f>
        <v>0</v>
      </c>
      <c r="M39" s="41">
        <f t="shared" ref="M39:N39" si="43">SUM(M40:M42)</f>
        <v>0</v>
      </c>
      <c r="N39" s="41">
        <f t="shared" si="43"/>
        <v>0</v>
      </c>
      <c r="O39" s="41">
        <f>SUM(O40:O42)</f>
        <v>0</v>
      </c>
      <c r="P39" s="41">
        <f t="shared" ref="P39:Q39" si="44">SUM(P40:P42)</f>
        <v>0</v>
      </c>
      <c r="Q39" s="41">
        <f t="shared" si="44"/>
        <v>0</v>
      </c>
      <c r="R39" s="41">
        <f>SUM(R40:R42)</f>
        <v>0</v>
      </c>
      <c r="S39" s="41">
        <f t="shared" ref="S39:T39" si="45">SUM(S40:S42)</f>
        <v>0</v>
      </c>
      <c r="T39" s="41">
        <f t="shared" si="45"/>
        <v>0</v>
      </c>
      <c r="U39" s="48">
        <f>SUM(I39,L39,O39,R39)</f>
        <v>0</v>
      </c>
    </row>
    <row r="40" spans="2:21" ht="15" customHeight="1" outlineLevel="1">
      <c r="B40" s="55"/>
      <c r="C40" s="28"/>
      <c r="D40" s="29"/>
      <c r="E40" s="28"/>
      <c r="F40" s="29"/>
      <c r="G40" s="30"/>
      <c r="H40" s="31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 outlineLevel="1">
      <c r="B41" s="57"/>
      <c r="C41" s="22"/>
      <c r="D41" s="20"/>
      <c r="E41" s="22"/>
      <c r="F41" s="20"/>
      <c r="G41" s="23"/>
      <c r="H41" s="21"/>
      <c r="I41" s="49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 outlineLevel="1">
      <c r="B42" s="56"/>
      <c r="C42" s="36"/>
      <c r="D42" s="37"/>
      <c r="E42" s="36"/>
      <c r="F42" s="37"/>
      <c r="G42" s="38"/>
      <c r="H42" s="39"/>
      <c r="I42" s="46">
        <f>Import1T($C42,$D42,$E42,$F42)</f>
        <v>0</v>
      </c>
      <c r="J42" s="50">
        <f>CalcIva($G42,$H42,$I42)</f>
        <v>0</v>
      </c>
      <c r="K42" s="50">
        <f>CalcIrpf($G42,$H42,$I42)</f>
        <v>0</v>
      </c>
      <c r="L42" s="46">
        <f>Import2T($C42,$D42,$E42,$F42)</f>
        <v>0</v>
      </c>
      <c r="M42" s="50">
        <f>CalcIva($G42,$H42,$L42)</f>
        <v>0</v>
      </c>
      <c r="N42" s="50">
        <f>CalcIrpf($G42,$H42,$L42)</f>
        <v>0</v>
      </c>
      <c r="O42" s="46">
        <f>Import3T($C42,$D42,$E42,$F42)</f>
        <v>0</v>
      </c>
      <c r="P42" s="50">
        <f>CalcIva($G42,$H42,$O42)</f>
        <v>0</v>
      </c>
      <c r="Q42" s="50">
        <f>CalcIrpf($G42,$H42,$O42)</f>
        <v>0</v>
      </c>
      <c r="R42" s="46">
        <f>Import4T($C42,$D42,$E42,$F42)</f>
        <v>0</v>
      </c>
      <c r="S42" s="50">
        <f>CalcIva($G42,$H42,$R42)</f>
        <v>0</v>
      </c>
      <c r="T42" s="50">
        <f>CalcIrpf($G42,$H42,$R42)</f>
        <v>0</v>
      </c>
      <c r="U42" s="47">
        <f>SUM($I42,$L42,$O42,$R42)</f>
        <v>0</v>
      </c>
    </row>
    <row r="43" spans="2:21" ht="15.95" customHeight="1" outlineLevel="1">
      <c r="B43" s="43" t="s">
        <v>85</v>
      </c>
      <c r="C43" s="41">
        <f>SUM(C44:C45)</f>
        <v>0</v>
      </c>
      <c r="D43" s="41"/>
      <c r="E43" s="41">
        <f>SUM(E44:E45)</f>
        <v>0</v>
      </c>
      <c r="F43" s="41"/>
      <c r="G43" s="41"/>
      <c r="H43" s="41"/>
      <c r="I43" s="41">
        <f>SUM(I44:I45)</f>
        <v>0</v>
      </c>
      <c r="J43" s="41">
        <f>SUM(J44:J47)</f>
        <v>0</v>
      </c>
      <c r="K43" s="41">
        <f t="shared" ref="K43:T43" si="46">SUM(K44:K47)</f>
        <v>0</v>
      </c>
      <c r="L43" s="41">
        <f t="shared" si="46"/>
        <v>0</v>
      </c>
      <c r="M43" s="41">
        <f t="shared" si="46"/>
        <v>0</v>
      </c>
      <c r="N43" s="41">
        <f t="shared" si="46"/>
        <v>0</v>
      </c>
      <c r="O43" s="41">
        <f t="shared" si="46"/>
        <v>0</v>
      </c>
      <c r="P43" s="41">
        <f t="shared" si="46"/>
        <v>0</v>
      </c>
      <c r="Q43" s="41">
        <f t="shared" si="46"/>
        <v>0</v>
      </c>
      <c r="R43" s="41">
        <f t="shared" si="46"/>
        <v>0</v>
      </c>
      <c r="S43" s="41">
        <f t="shared" si="46"/>
        <v>0</v>
      </c>
      <c r="T43" s="41">
        <f t="shared" si="46"/>
        <v>0</v>
      </c>
      <c r="U43" s="48">
        <f>SUM(I43,L43,O43,R43)</f>
        <v>0</v>
      </c>
    </row>
    <row r="44" spans="2:21" ht="15" customHeight="1" outlineLevel="1">
      <c r="B44" s="44" t="s">
        <v>96</v>
      </c>
      <c r="C44" s="28"/>
      <c r="D44" s="29"/>
      <c r="E44" s="28"/>
      <c r="F44" s="29"/>
      <c r="G44" s="17"/>
      <c r="H44" s="17"/>
      <c r="I44" s="17">
        <f>Import1T($C44,$D44,$E44,$F44)</f>
        <v>0</v>
      </c>
      <c r="J44" s="50"/>
      <c r="K44" s="50"/>
      <c r="L44" s="17">
        <f t="shared" ref="L44:L47" si="47">Import2T($C44,$D44,$E44,$F44)</f>
        <v>0</v>
      </c>
      <c r="M44" s="50"/>
      <c r="N44" s="50"/>
      <c r="O44" s="17">
        <f t="shared" ref="O44:O47" si="48">Import3T($C44,$D44,$E44,$F44)</f>
        <v>0</v>
      </c>
      <c r="P44" s="50"/>
      <c r="Q44" s="50"/>
      <c r="R44" s="17">
        <f t="shared" ref="R44:R47" si="49">Import4T($C44,$D44,$E44,$F44)</f>
        <v>0</v>
      </c>
      <c r="S44" s="50"/>
      <c r="T44" s="50"/>
      <c r="U44" s="18">
        <f t="shared" ref="U44:U47" si="50">SUM($I44,$L44,$O44,$R44)</f>
        <v>0</v>
      </c>
    </row>
    <row r="45" spans="2:21" ht="15" customHeight="1" outlineLevel="1">
      <c r="B45" s="27" t="s">
        <v>97</v>
      </c>
      <c r="C45" s="58"/>
      <c r="D45" s="59"/>
      <c r="E45" s="58"/>
      <c r="F45" s="59"/>
      <c r="G45" s="17"/>
      <c r="H45" s="49"/>
      <c r="I45" s="71">
        <f t="shared" ref="I45:I47" si="51">Import1T($C45,$D45,$E45,$F45)</f>
        <v>0</v>
      </c>
      <c r="J45" s="50"/>
      <c r="K45" s="50"/>
      <c r="L45" s="17">
        <f t="shared" si="47"/>
        <v>0</v>
      </c>
      <c r="M45" s="50"/>
      <c r="N45" s="50"/>
      <c r="O45" s="17">
        <f t="shared" si="48"/>
        <v>0</v>
      </c>
      <c r="P45" s="50"/>
      <c r="Q45" s="50"/>
      <c r="R45" s="17">
        <f t="shared" si="49"/>
        <v>0</v>
      </c>
      <c r="S45" s="50"/>
      <c r="T45" s="50"/>
      <c r="U45" s="49">
        <f t="shared" si="50"/>
        <v>0</v>
      </c>
    </row>
    <row r="46" spans="2:21" ht="15" customHeight="1" outlineLevel="1">
      <c r="B46" s="27" t="s">
        <v>87</v>
      </c>
      <c r="C46" s="60"/>
      <c r="D46" s="61"/>
      <c r="E46" s="60"/>
      <c r="F46" s="61"/>
      <c r="G46" s="62"/>
      <c r="H46" s="46"/>
      <c r="I46" s="71">
        <f t="shared" si="51"/>
        <v>0</v>
      </c>
      <c r="J46" s="50">
        <f>CalcIva($G46,$H46,$I46)</f>
        <v>0</v>
      </c>
      <c r="K46" s="50"/>
      <c r="L46" s="17">
        <f t="shared" si="47"/>
        <v>0</v>
      </c>
      <c r="M46" s="50">
        <f>CalcIva($G46,$H46,$L46)</f>
        <v>0</v>
      </c>
      <c r="N46" s="50"/>
      <c r="O46" s="17">
        <f t="shared" si="48"/>
        <v>0</v>
      </c>
      <c r="P46" s="50">
        <f>CalcIva($G46,$H46,$O46)</f>
        <v>0</v>
      </c>
      <c r="Q46" s="50"/>
      <c r="R46" s="17">
        <f t="shared" si="49"/>
        <v>0</v>
      </c>
      <c r="S46" s="50">
        <f>CalcIva($G46,$H46,$R46)</f>
        <v>0</v>
      </c>
      <c r="T46" s="50"/>
      <c r="U46" s="49">
        <f t="shared" si="50"/>
        <v>0</v>
      </c>
    </row>
    <row r="47" spans="2:21" ht="15" customHeight="1" outlineLevel="1">
      <c r="B47" s="27" t="s">
        <v>86</v>
      </c>
      <c r="C47" s="22"/>
      <c r="D47" s="20"/>
      <c r="E47" s="22"/>
      <c r="F47" s="20"/>
      <c r="G47" s="23"/>
      <c r="H47" s="49"/>
      <c r="I47" s="19">
        <f t="shared" si="51"/>
        <v>0</v>
      </c>
      <c r="J47" s="50">
        <f>CalcIva($G47,$H47,$I47)</f>
        <v>0</v>
      </c>
      <c r="K47" s="50"/>
      <c r="L47" s="17">
        <f t="shared" si="47"/>
        <v>0</v>
      </c>
      <c r="M47" s="50">
        <f>CalcIva($G47,$H47,$L47)</f>
        <v>0</v>
      </c>
      <c r="N47" s="50"/>
      <c r="O47" s="17">
        <f t="shared" si="48"/>
        <v>0</v>
      </c>
      <c r="P47" s="50">
        <f>CalcIva($G47,$H47,$O47)</f>
        <v>0</v>
      </c>
      <c r="Q47" s="50"/>
      <c r="R47" s="17">
        <f t="shared" si="49"/>
        <v>0</v>
      </c>
      <c r="S47" s="50">
        <f>CalcIva($G47,$H47,$R47)</f>
        <v>0</v>
      </c>
      <c r="T47" s="50"/>
      <c r="U47" s="49">
        <f t="shared" si="50"/>
        <v>0</v>
      </c>
    </row>
    <row r="48" spans="2:21" ht="24" customHeight="1" outlineLevel="1">
      <c r="B48" s="43" t="s">
        <v>29</v>
      </c>
      <c r="C48" s="41">
        <f>SUM(C8,C14,C16,C19,C26,C43)</f>
        <v>0</v>
      </c>
      <c r="D48" s="41"/>
      <c r="E48" s="41">
        <f>SUM(E8,E14,E16,E19,E26,E43)</f>
        <v>0</v>
      </c>
      <c r="F48" s="41"/>
      <c r="G48" s="41"/>
      <c r="H48" s="41"/>
      <c r="I48" s="41">
        <f>SUM(I8,I14,I16,I19,I26,I39,I43)</f>
        <v>0</v>
      </c>
      <c r="J48" s="41">
        <f t="shared" ref="J48:T48" si="52">SUM(J8,J14,J16,J19,J26,J39,J43)</f>
        <v>0</v>
      </c>
      <c r="K48" s="41">
        <f t="shared" si="52"/>
        <v>0</v>
      </c>
      <c r="L48" s="41">
        <f t="shared" si="52"/>
        <v>0</v>
      </c>
      <c r="M48" s="41">
        <f t="shared" si="52"/>
        <v>0</v>
      </c>
      <c r="N48" s="41">
        <f t="shared" si="52"/>
        <v>0</v>
      </c>
      <c r="O48" s="41">
        <f t="shared" si="52"/>
        <v>0</v>
      </c>
      <c r="P48" s="41">
        <f t="shared" si="52"/>
        <v>0</v>
      </c>
      <c r="Q48" s="41">
        <f t="shared" si="52"/>
        <v>0</v>
      </c>
      <c r="R48" s="41">
        <f t="shared" si="52"/>
        <v>0</v>
      </c>
      <c r="S48" s="41">
        <f t="shared" si="52"/>
        <v>0</v>
      </c>
      <c r="T48" s="41">
        <f t="shared" si="52"/>
        <v>0</v>
      </c>
      <c r="U48" s="41">
        <f>SUM(U8,U14,U16,U19,U26,U43,U39)</f>
        <v>0</v>
      </c>
    </row>
    <row r="49" spans="2:21" ht="16.5" customHeight="1"/>
    <row r="50" spans="2:21" ht="26.25">
      <c r="B50" s="138" t="s">
        <v>30</v>
      </c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</row>
    <row r="51" spans="2:21" ht="15" hidden="1" customHeight="1" outlineLevel="1">
      <c r="B51" s="139" t="s">
        <v>98</v>
      </c>
      <c r="C51" s="139" t="s">
        <v>31</v>
      </c>
      <c r="D51" s="139"/>
      <c r="E51" s="139"/>
      <c r="F51" s="139"/>
      <c r="G51" s="149" t="s">
        <v>20</v>
      </c>
      <c r="H51" s="149" t="s">
        <v>21</v>
      </c>
      <c r="I51" s="140" t="s">
        <v>32</v>
      </c>
      <c r="J51" s="140"/>
      <c r="K51" s="140"/>
      <c r="L51" s="140"/>
      <c r="M51" s="140"/>
      <c r="N51" s="140"/>
      <c r="O51" s="140"/>
      <c r="P51" s="140"/>
      <c r="Q51" s="140"/>
      <c r="R51" s="163"/>
      <c r="S51" s="72"/>
      <c r="T51" s="73"/>
      <c r="U51" s="146" t="s">
        <v>68</v>
      </c>
    </row>
    <row r="52" spans="2:21" ht="15" hidden="1" customHeight="1" outlineLevel="1">
      <c r="B52" s="140"/>
      <c r="C52" s="149" t="s">
        <v>35</v>
      </c>
      <c r="D52" s="149" t="s">
        <v>47</v>
      </c>
      <c r="E52" s="149" t="s">
        <v>36</v>
      </c>
      <c r="F52" s="149" t="s">
        <v>44</v>
      </c>
      <c r="G52" s="149"/>
      <c r="H52" s="149"/>
      <c r="I52" s="140"/>
      <c r="J52" s="140"/>
      <c r="K52" s="140"/>
      <c r="L52" s="140"/>
      <c r="M52" s="140"/>
      <c r="N52" s="140"/>
      <c r="O52" s="140"/>
      <c r="P52" s="140"/>
      <c r="Q52" s="140"/>
      <c r="R52" s="163"/>
      <c r="S52" s="72"/>
      <c r="T52" s="73"/>
      <c r="U52" s="147"/>
    </row>
    <row r="53" spans="2:21" ht="15" hidden="1" customHeight="1" outlineLevel="1">
      <c r="B53" s="140"/>
      <c r="C53" s="149"/>
      <c r="D53" s="149"/>
      <c r="E53" s="149"/>
      <c r="F53" s="149"/>
      <c r="G53" s="149"/>
      <c r="H53" s="149"/>
      <c r="I53" s="13" t="s">
        <v>37</v>
      </c>
      <c r="J53" s="13"/>
      <c r="K53" s="13"/>
      <c r="L53" s="13" t="s">
        <v>38</v>
      </c>
      <c r="M53" s="13"/>
      <c r="N53" s="13"/>
      <c r="O53" s="13" t="s">
        <v>39</v>
      </c>
      <c r="P53" s="13"/>
      <c r="Q53" s="13"/>
      <c r="R53" s="76" t="s">
        <v>40</v>
      </c>
      <c r="S53" s="74"/>
      <c r="T53" s="75"/>
      <c r="U53" s="147"/>
    </row>
    <row r="54" spans="2:21" ht="15.95" customHeight="1" outlineLevel="1">
      <c r="B54" s="16" t="s">
        <v>90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3">SUM(J55:J59)</f>
        <v>0</v>
      </c>
      <c r="K54" s="41">
        <f t="shared" si="53"/>
        <v>0</v>
      </c>
      <c r="L54" s="41">
        <f>SUM(L55:L59)</f>
        <v>0</v>
      </c>
      <c r="M54" s="41">
        <f t="shared" ref="M54:N54" si="54">SUM(M55:M59)</f>
        <v>0</v>
      </c>
      <c r="N54" s="41">
        <f t="shared" si="54"/>
        <v>0</v>
      </c>
      <c r="O54" s="41">
        <f>SUM(O55:O59)</f>
        <v>0</v>
      </c>
      <c r="P54" s="41">
        <f t="shared" ref="P54:Q54" si="55">SUM(P55:P59)</f>
        <v>0</v>
      </c>
      <c r="Q54" s="41">
        <f t="shared" si="55"/>
        <v>0</v>
      </c>
      <c r="R54" s="41">
        <f>SUM(R55:R59)</f>
        <v>0</v>
      </c>
      <c r="S54" s="41">
        <f t="shared" ref="S54:T54" si="56">SUM(S55:S59)</f>
        <v>0</v>
      </c>
      <c r="T54" s="41">
        <f t="shared" si="56"/>
        <v>0</v>
      </c>
      <c r="U54" s="48">
        <f>SUM(I54,L54,O54,R54)</f>
        <v>0</v>
      </c>
    </row>
    <row r="55" spans="2:21" ht="15" customHeight="1" outlineLevel="1">
      <c r="B55" s="55" t="s">
        <v>72</v>
      </c>
      <c r="C55" s="28"/>
      <c r="D55" s="29"/>
      <c r="E55" s="28"/>
      <c r="F55" s="29"/>
      <c r="G55" s="31"/>
      <c r="H55" s="17"/>
      <c r="I55" s="17">
        <f t="shared" ref="I55:I59" si="57">Import1T($C55,$D55,$E55,$F55)</f>
        <v>0</v>
      </c>
      <c r="J55" s="50">
        <f t="shared" ref="J55:J59" si="58">CalcIva($G55,$H55,$I55)</f>
        <v>0</v>
      </c>
      <c r="K55" s="50"/>
      <c r="L55" s="17">
        <f t="shared" ref="L55:L59" si="59">Import2T($C55,$D55,$E55,$F55)</f>
        <v>0</v>
      </c>
      <c r="M55" s="50">
        <f t="shared" ref="M55:M59" si="60">CalcIva($G55,$H55,$L55)</f>
        <v>0</v>
      </c>
      <c r="N55" s="50"/>
      <c r="O55" s="17">
        <f t="shared" ref="O55:O59" si="61">Import3T($C55,$D55,$E55,$F55)</f>
        <v>0</v>
      </c>
      <c r="P55" s="50">
        <f t="shared" ref="P55:P59" si="62">CalcIva($G55,$H55,$O55)</f>
        <v>0</v>
      </c>
      <c r="Q55" s="50"/>
      <c r="R55" s="17">
        <f t="shared" ref="R55:R59" si="63">Import4T($C55,$D55,$E55,$F55)</f>
        <v>0</v>
      </c>
      <c r="S55" s="50">
        <f t="shared" ref="S55:S59" si="64">CalcIva($G55,$H55,$R55)</f>
        <v>0</v>
      </c>
      <c r="T55" s="50"/>
      <c r="U55" s="18">
        <f t="shared" ref="U55:U59" si="65">SUM($I55,$L55,$O55,$R55)</f>
        <v>0</v>
      </c>
    </row>
    <row r="56" spans="2:21" ht="15" customHeight="1" outlineLevel="1">
      <c r="B56" s="56" t="s">
        <v>73</v>
      </c>
      <c r="C56" s="32"/>
      <c r="D56" s="33"/>
      <c r="E56" s="32"/>
      <c r="F56" s="33"/>
      <c r="G56" s="35"/>
      <c r="H56" s="17"/>
      <c r="I56" s="17">
        <f t="shared" si="57"/>
        <v>0</v>
      </c>
      <c r="J56" s="50">
        <f t="shared" si="58"/>
        <v>0</v>
      </c>
      <c r="K56" s="50"/>
      <c r="L56" s="17">
        <f t="shared" si="59"/>
        <v>0</v>
      </c>
      <c r="M56" s="50">
        <f t="shared" si="60"/>
        <v>0</v>
      </c>
      <c r="N56" s="50"/>
      <c r="O56" s="17">
        <f t="shared" si="61"/>
        <v>0</v>
      </c>
      <c r="P56" s="50">
        <f t="shared" si="62"/>
        <v>0</v>
      </c>
      <c r="Q56" s="50"/>
      <c r="R56" s="17">
        <f t="shared" si="63"/>
        <v>0</v>
      </c>
      <c r="S56" s="50">
        <f t="shared" si="64"/>
        <v>0</v>
      </c>
      <c r="T56" s="50"/>
      <c r="U56" s="18">
        <f t="shared" si="65"/>
        <v>0</v>
      </c>
    </row>
    <row r="57" spans="2:21" ht="15" customHeight="1" outlineLevel="1">
      <c r="B57" s="56" t="s">
        <v>74</v>
      </c>
      <c r="C57" s="32"/>
      <c r="D57" s="33"/>
      <c r="E57" s="32"/>
      <c r="F57" s="33"/>
      <c r="G57" s="35"/>
      <c r="H57" s="17"/>
      <c r="I57" s="17">
        <f t="shared" si="57"/>
        <v>0</v>
      </c>
      <c r="J57" s="50">
        <f t="shared" si="58"/>
        <v>0</v>
      </c>
      <c r="K57" s="50"/>
      <c r="L57" s="17">
        <f t="shared" si="59"/>
        <v>0</v>
      </c>
      <c r="M57" s="50">
        <f t="shared" si="60"/>
        <v>0</v>
      </c>
      <c r="N57" s="50"/>
      <c r="O57" s="17">
        <f t="shared" si="61"/>
        <v>0</v>
      </c>
      <c r="P57" s="50">
        <f t="shared" si="62"/>
        <v>0</v>
      </c>
      <c r="Q57" s="50"/>
      <c r="R57" s="17">
        <f t="shared" si="63"/>
        <v>0</v>
      </c>
      <c r="S57" s="50">
        <f t="shared" si="64"/>
        <v>0</v>
      </c>
      <c r="T57" s="50"/>
      <c r="U57" s="18">
        <f t="shared" si="65"/>
        <v>0</v>
      </c>
    </row>
    <row r="58" spans="2:21" ht="15" customHeight="1" outlineLevel="1">
      <c r="B58" s="56" t="s">
        <v>76</v>
      </c>
      <c r="C58" s="32"/>
      <c r="D58" s="33"/>
      <c r="E58" s="32"/>
      <c r="F58" s="33"/>
      <c r="G58" s="35"/>
      <c r="H58" s="17"/>
      <c r="I58" s="17">
        <f t="shared" si="57"/>
        <v>0</v>
      </c>
      <c r="J58" s="50">
        <f t="shared" si="58"/>
        <v>0</v>
      </c>
      <c r="K58" s="50"/>
      <c r="L58" s="17">
        <f t="shared" si="59"/>
        <v>0</v>
      </c>
      <c r="M58" s="50">
        <f t="shared" si="60"/>
        <v>0</v>
      </c>
      <c r="N58" s="50"/>
      <c r="O58" s="17">
        <f t="shared" si="61"/>
        <v>0</v>
      </c>
      <c r="P58" s="50">
        <f t="shared" si="62"/>
        <v>0</v>
      </c>
      <c r="Q58" s="50"/>
      <c r="R58" s="17">
        <f t="shared" si="63"/>
        <v>0</v>
      </c>
      <c r="S58" s="50">
        <f t="shared" si="64"/>
        <v>0</v>
      </c>
      <c r="T58" s="50"/>
      <c r="U58" s="18">
        <f t="shared" si="65"/>
        <v>0</v>
      </c>
    </row>
    <row r="59" spans="2:21" ht="15" customHeight="1" outlineLevel="1">
      <c r="B59" s="56" t="s">
        <v>77</v>
      </c>
      <c r="C59" s="36"/>
      <c r="D59" s="37"/>
      <c r="E59" s="36"/>
      <c r="F59" s="37"/>
      <c r="G59" s="39"/>
      <c r="H59" s="19"/>
      <c r="I59" s="46">
        <f t="shared" si="57"/>
        <v>0</v>
      </c>
      <c r="J59" s="50">
        <f t="shared" si="58"/>
        <v>0</v>
      </c>
      <c r="K59" s="50"/>
      <c r="L59" s="46">
        <f t="shared" si="59"/>
        <v>0</v>
      </c>
      <c r="M59" s="50">
        <f t="shared" si="60"/>
        <v>0</v>
      </c>
      <c r="N59" s="50"/>
      <c r="O59" s="46">
        <f t="shared" si="61"/>
        <v>0</v>
      </c>
      <c r="P59" s="50">
        <f t="shared" si="62"/>
        <v>0</v>
      </c>
      <c r="Q59" s="50"/>
      <c r="R59" s="46">
        <f t="shared" si="63"/>
        <v>0</v>
      </c>
      <c r="S59" s="50">
        <f t="shared" si="64"/>
        <v>0</v>
      </c>
      <c r="T59" s="50"/>
      <c r="U59" s="47">
        <f t="shared" si="65"/>
        <v>0</v>
      </c>
    </row>
    <row r="60" spans="2:21" ht="15.95" customHeight="1" outlineLevel="1">
      <c r="B60" s="43" t="s">
        <v>91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T60" si="66">SUM(J61:J62)</f>
        <v>0</v>
      </c>
      <c r="K60" s="41">
        <f t="shared" si="66"/>
        <v>0</v>
      </c>
      <c r="L60" s="41">
        <f t="shared" si="66"/>
        <v>0</v>
      </c>
      <c r="M60" s="41">
        <f t="shared" si="66"/>
        <v>0</v>
      </c>
      <c r="N60" s="41">
        <f t="shared" si="66"/>
        <v>0</v>
      </c>
      <c r="O60" s="41">
        <f t="shared" si="66"/>
        <v>0</v>
      </c>
      <c r="P60" s="41">
        <f t="shared" si="66"/>
        <v>0</v>
      </c>
      <c r="Q60" s="41">
        <f t="shared" si="66"/>
        <v>0</v>
      </c>
      <c r="R60" s="41">
        <f t="shared" si="66"/>
        <v>0</v>
      </c>
      <c r="S60" s="41">
        <f t="shared" si="66"/>
        <v>0</v>
      </c>
      <c r="T60" s="41">
        <f t="shared" si="66"/>
        <v>0</v>
      </c>
      <c r="U60" s="48">
        <f>SUM(I60,L60,O60,R60)</f>
        <v>0</v>
      </c>
    </row>
    <row r="61" spans="2:21" ht="15" customHeight="1" outlineLevel="1">
      <c r="B61" s="55" t="s">
        <v>75</v>
      </c>
      <c r="C61" s="28"/>
      <c r="D61" s="29"/>
      <c r="E61" s="28"/>
      <c r="F61" s="29"/>
      <c r="G61" s="31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56" t="s">
        <v>75</v>
      </c>
      <c r="C62" s="36"/>
      <c r="D62" s="37"/>
      <c r="E62" s="36"/>
      <c r="F62" s="37"/>
      <c r="G62" s="39"/>
      <c r="H62" s="19"/>
      <c r="I62" s="19">
        <f>Import1T($C62,$D62,$E62,$F62)</f>
        <v>0</v>
      </c>
      <c r="J62" s="50">
        <f>CalcIva($G62,$H62,$I62)</f>
        <v>0</v>
      </c>
      <c r="K62" s="50"/>
      <c r="L62" s="19">
        <f>Import2T($C62,$D62,$E62,$F62)</f>
        <v>0</v>
      </c>
      <c r="M62" s="50">
        <f>CalcIva($G62,$H62,$L62)</f>
        <v>0</v>
      </c>
      <c r="N62" s="50"/>
      <c r="O62" s="19">
        <f>Import3T($C62,$D62,$E62,$F62)</f>
        <v>0</v>
      </c>
      <c r="P62" s="50">
        <f>CalcIva($G62,$H62,$O62)</f>
        <v>0</v>
      </c>
      <c r="Q62" s="50"/>
      <c r="R62" s="19">
        <f>Import4T($C62,$D62,$E62,$F62)</f>
        <v>0</v>
      </c>
      <c r="S62" s="50">
        <f>CalcIva($G62,$H62,$R62)</f>
        <v>0</v>
      </c>
      <c r="T62" s="50"/>
      <c r="U62" s="45">
        <f>SUM($I62,$L62,$O62,$R62)</f>
        <v>0</v>
      </c>
    </row>
    <row r="63" spans="2:21" ht="15.95" customHeight="1" outlineLevel="1">
      <c r="B63" s="43" t="s">
        <v>92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67">SUM(J64:J67)</f>
        <v>0</v>
      </c>
      <c r="K63" s="41">
        <f t="shared" si="67"/>
        <v>0</v>
      </c>
      <c r="L63" s="41">
        <f t="shared" si="67"/>
        <v>0</v>
      </c>
      <c r="M63" s="41">
        <f t="shared" si="67"/>
        <v>0</v>
      </c>
      <c r="N63" s="41">
        <f t="shared" si="67"/>
        <v>0</v>
      </c>
      <c r="O63" s="41">
        <f t="shared" si="67"/>
        <v>0</v>
      </c>
      <c r="P63" s="41">
        <f t="shared" si="67"/>
        <v>0</v>
      </c>
      <c r="Q63" s="41">
        <f t="shared" si="67"/>
        <v>0</v>
      </c>
      <c r="R63" s="41">
        <f>SUM(R64:R67)</f>
        <v>0</v>
      </c>
      <c r="S63" s="41">
        <f t="shared" ref="S63:T63" si="68">SUM(S64:S67)</f>
        <v>0</v>
      </c>
      <c r="T63" s="41">
        <f t="shared" si="68"/>
        <v>0</v>
      </c>
      <c r="U63" s="48">
        <f>SUM(I63,L63,O63,R63)</f>
        <v>0</v>
      </c>
    </row>
    <row r="64" spans="2:21" ht="15" customHeight="1" outlineLevel="1">
      <c r="B64" s="55" t="s">
        <v>75</v>
      </c>
      <c r="C64" s="28"/>
      <c r="D64" s="29"/>
      <c r="E64" s="28"/>
      <c r="F64" s="29"/>
      <c r="G64" s="31"/>
      <c r="H64" s="31"/>
      <c r="I64" s="17">
        <f t="shared" ref="I64:I69" si="69">Import1T($C64,$D64,$E64,$F64)</f>
        <v>0</v>
      </c>
      <c r="J64" s="50">
        <f t="shared" ref="J64:J67" si="70">CalcIva($G64,$H64,$I64)</f>
        <v>0</v>
      </c>
      <c r="K64" s="50">
        <f t="shared" ref="K64:K67" si="71">CalcIrpf($G64,$H64,$I64)</f>
        <v>0</v>
      </c>
      <c r="L64" s="17">
        <f t="shared" ref="L64:L70" si="72">Import2T($C64,$D64,$E64,$F64)</f>
        <v>0</v>
      </c>
      <c r="M64" s="50">
        <f t="shared" ref="M64:M67" si="73">CalcIva($G64,$H64,$L64)</f>
        <v>0</v>
      </c>
      <c r="N64" s="50">
        <f t="shared" ref="N64:N67" si="74">CalcIrpf($G64,$H64,$L64)</f>
        <v>0</v>
      </c>
      <c r="O64" s="17">
        <f t="shared" ref="O64:O70" si="75">Import3T($C64,$D64,$E64,$F64)</f>
        <v>0</v>
      </c>
      <c r="P64" s="50">
        <f t="shared" ref="P64:P67" si="76">CalcIva($G64,$H64,$O64)</f>
        <v>0</v>
      </c>
      <c r="Q64" s="50">
        <f t="shared" ref="Q64:Q67" si="77">CalcIrpf($G64,$H64,$O64)</f>
        <v>0</v>
      </c>
      <c r="R64" s="17">
        <f t="shared" ref="R64:R70" si="78">Import4T($C64,$D64,$E64,$F64)</f>
        <v>0</v>
      </c>
      <c r="S64" s="50">
        <f t="shared" ref="S64:S67" si="79">CalcIva($G64,$H64,$R64)</f>
        <v>0</v>
      </c>
      <c r="T64" s="50">
        <f t="shared" ref="T64:T67" si="80">CalcIrpf($G64,$H64,$R64)</f>
        <v>0</v>
      </c>
      <c r="U64" s="18">
        <f t="shared" ref="U64:U70" si="81">SUM($I64,$L64,$O64,$R64)</f>
        <v>0</v>
      </c>
    </row>
    <row r="65" spans="2:24" ht="15" customHeight="1" outlineLevel="1">
      <c r="B65" s="56" t="s">
        <v>75</v>
      </c>
      <c r="C65" s="32"/>
      <c r="D65" s="33"/>
      <c r="E65" s="32"/>
      <c r="F65" s="33"/>
      <c r="G65" s="35"/>
      <c r="H65" s="35"/>
      <c r="I65" s="17">
        <f t="shared" si="69"/>
        <v>0</v>
      </c>
      <c r="J65" s="50">
        <f t="shared" si="70"/>
        <v>0</v>
      </c>
      <c r="K65" s="50">
        <f t="shared" si="71"/>
        <v>0</v>
      </c>
      <c r="L65" s="17">
        <f t="shared" si="72"/>
        <v>0</v>
      </c>
      <c r="M65" s="50">
        <f t="shared" si="73"/>
        <v>0</v>
      </c>
      <c r="N65" s="50">
        <f t="shared" si="74"/>
        <v>0</v>
      </c>
      <c r="O65" s="17">
        <f t="shared" si="75"/>
        <v>0</v>
      </c>
      <c r="P65" s="50">
        <f t="shared" si="76"/>
        <v>0</v>
      </c>
      <c r="Q65" s="50">
        <f t="shared" si="77"/>
        <v>0</v>
      </c>
      <c r="R65" s="17">
        <f t="shared" si="78"/>
        <v>0</v>
      </c>
      <c r="S65" s="50">
        <f t="shared" si="79"/>
        <v>0</v>
      </c>
      <c r="T65" s="50">
        <f t="shared" si="80"/>
        <v>0</v>
      </c>
      <c r="U65" s="18">
        <f t="shared" si="81"/>
        <v>0</v>
      </c>
    </row>
    <row r="66" spans="2:24" ht="15" customHeight="1" outlineLevel="1">
      <c r="B66" s="56" t="s">
        <v>75</v>
      </c>
      <c r="C66" s="32"/>
      <c r="D66" s="33"/>
      <c r="E66" s="32"/>
      <c r="F66" s="33"/>
      <c r="G66" s="35"/>
      <c r="H66" s="35"/>
      <c r="I66" s="17">
        <f t="shared" si="69"/>
        <v>0</v>
      </c>
      <c r="J66" s="50">
        <f t="shared" si="70"/>
        <v>0</v>
      </c>
      <c r="K66" s="50">
        <f t="shared" si="71"/>
        <v>0</v>
      </c>
      <c r="L66" s="17">
        <f t="shared" si="72"/>
        <v>0</v>
      </c>
      <c r="M66" s="50">
        <f t="shared" si="73"/>
        <v>0</v>
      </c>
      <c r="N66" s="50">
        <f t="shared" si="74"/>
        <v>0</v>
      </c>
      <c r="O66" s="17">
        <f t="shared" si="75"/>
        <v>0</v>
      </c>
      <c r="P66" s="50">
        <f t="shared" si="76"/>
        <v>0</v>
      </c>
      <c r="Q66" s="50">
        <f t="shared" si="77"/>
        <v>0</v>
      </c>
      <c r="R66" s="17">
        <f t="shared" si="78"/>
        <v>0</v>
      </c>
      <c r="S66" s="50">
        <f t="shared" si="79"/>
        <v>0</v>
      </c>
      <c r="T66" s="50">
        <f t="shared" si="80"/>
        <v>0</v>
      </c>
      <c r="U66" s="18">
        <f t="shared" si="81"/>
        <v>0</v>
      </c>
    </row>
    <row r="67" spans="2:24" ht="15" customHeight="1" outlineLevel="1">
      <c r="B67" s="56" t="s">
        <v>75</v>
      </c>
      <c r="C67" s="36"/>
      <c r="D67" s="37"/>
      <c r="E67" s="36"/>
      <c r="F67" s="37"/>
      <c r="G67" s="39"/>
      <c r="H67" s="39"/>
      <c r="I67" s="46">
        <f t="shared" si="69"/>
        <v>0</v>
      </c>
      <c r="J67" s="50">
        <f t="shared" si="70"/>
        <v>0</v>
      </c>
      <c r="K67" s="50">
        <f t="shared" si="71"/>
        <v>0</v>
      </c>
      <c r="L67" s="46">
        <f t="shared" si="72"/>
        <v>0</v>
      </c>
      <c r="M67" s="50">
        <f t="shared" si="73"/>
        <v>0</v>
      </c>
      <c r="N67" s="50">
        <f t="shared" si="74"/>
        <v>0</v>
      </c>
      <c r="O67" s="46">
        <f t="shared" si="75"/>
        <v>0</v>
      </c>
      <c r="P67" s="50">
        <f t="shared" si="76"/>
        <v>0</v>
      </c>
      <c r="Q67" s="50">
        <f t="shared" si="77"/>
        <v>0</v>
      </c>
      <c r="R67" s="46">
        <f t="shared" si="78"/>
        <v>0</v>
      </c>
      <c r="S67" s="50">
        <f t="shared" si="79"/>
        <v>0</v>
      </c>
      <c r="T67" s="50">
        <f t="shared" si="80"/>
        <v>0</v>
      </c>
      <c r="U67" s="47">
        <f t="shared" si="81"/>
        <v>0</v>
      </c>
    </row>
    <row r="68" spans="2:24" ht="15.95" customHeight="1" outlineLevel="1">
      <c r="B68" s="43" t="s">
        <v>93</v>
      </c>
      <c r="C68" s="41">
        <f>SUM(C70:C71)</f>
        <v>0</v>
      </c>
      <c r="D68" s="41"/>
      <c r="E68" s="41">
        <f>SUM(E70:E71)</f>
        <v>0</v>
      </c>
      <c r="F68" s="41"/>
      <c r="G68" s="41"/>
      <c r="H68" s="41"/>
      <c r="I68" s="41">
        <f>SUM(I69:I70)</f>
        <v>0</v>
      </c>
      <c r="J68" s="41">
        <f t="shared" ref="J68:K68" si="82">SUM(J69:J70)</f>
        <v>0</v>
      </c>
      <c r="K68" s="41">
        <f t="shared" si="82"/>
        <v>0</v>
      </c>
      <c r="L68" s="41">
        <f t="shared" ref="L68" si="83">SUM(L69:L70)</f>
        <v>0</v>
      </c>
      <c r="M68" s="41">
        <f t="shared" ref="M68" si="84">SUM(M69:M70)</f>
        <v>0</v>
      </c>
      <c r="N68" s="41">
        <f t="shared" ref="N68" si="85">SUM(N69:N70)</f>
        <v>0</v>
      </c>
      <c r="O68" s="41">
        <f t="shared" ref="O68" si="86">SUM(O69:O70)</f>
        <v>0</v>
      </c>
      <c r="P68" s="41">
        <f t="shared" ref="P68" si="87">SUM(P69:P70)</f>
        <v>0</v>
      </c>
      <c r="Q68" s="41">
        <f t="shared" ref="Q68" si="88">SUM(Q69:Q70)</f>
        <v>0</v>
      </c>
      <c r="R68" s="41">
        <f t="shared" ref="R68" si="89">SUM(R69:R70)</f>
        <v>0</v>
      </c>
      <c r="S68" s="41">
        <f t="shared" ref="S68" si="90">SUM(S69:S70)</f>
        <v>0</v>
      </c>
      <c r="T68" s="41">
        <f t="shared" ref="T68" si="91">SUM(T69:T70)</f>
        <v>0</v>
      </c>
      <c r="U68" s="48">
        <f>SUM(I68,L68,O68,R68)</f>
        <v>0</v>
      </c>
    </row>
    <row r="69" spans="2:24" ht="15.95" customHeight="1" outlineLevel="1">
      <c r="B69" s="24" t="s">
        <v>83</v>
      </c>
      <c r="C69" s="28"/>
      <c r="D69" s="40"/>
      <c r="E69" s="28"/>
      <c r="F69" s="29"/>
      <c r="G69" s="31"/>
      <c r="H69" s="31"/>
      <c r="I69" s="17">
        <f t="shared" si="69"/>
        <v>0</v>
      </c>
      <c r="J69" s="50">
        <f t="shared" ref="J69:J70" si="92">CalcIva($G69,$H69,$I69)</f>
        <v>0</v>
      </c>
      <c r="K69" s="50">
        <f t="shared" ref="K69" si="93">CalcIrpf($G69,$H69,$I69)</f>
        <v>0</v>
      </c>
      <c r="L69" s="17">
        <f t="shared" si="72"/>
        <v>0</v>
      </c>
      <c r="M69" s="50">
        <f>CalcIva($G69,$H69,$L69)</f>
        <v>0</v>
      </c>
      <c r="N69" s="50">
        <f>CalcIrpf($G69,$H69,$L69)</f>
        <v>0</v>
      </c>
      <c r="O69" s="17">
        <f t="shared" si="75"/>
        <v>0</v>
      </c>
      <c r="P69" s="50">
        <f>CalcIva($G69,$H69,$O69)</f>
        <v>0</v>
      </c>
      <c r="Q69" s="50">
        <f>CalcIrpf($G69,$H69,$O69)</f>
        <v>0</v>
      </c>
      <c r="R69" s="17">
        <f t="shared" si="78"/>
        <v>0</v>
      </c>
      <c r="S69" s="50">
        <f>CalcIva($G69,$H69,$R69)</f>
        <v>0</v>
      </c>
      <c r="T69" s="50">
        <f>CalcIrpf($G69,$H69,$R69)</f>
        <v>0</v>
      </c>
      <c r="U69" s="18">
        <f t="shared" si="81"/>
        <v>0</v>
      </c>
    </row>
    <row r="70" spans="2:24" ht="15" customHeight="1" outlineLevel="1">
      <c r="B70" s="46" t="s">
        <v>82</v>
      </c>
      <c r="C70" s="22"/>
      <c r="D70" s="20"/>
      <c r="E70" s="22"/>
      <c r="F70" s="20"/>
      <c r="G70" s="21"/>
      <c r="H70" s="46"/>
      <c r="I70" s="19">
        <f t="shared" ref="I70" si="94">Import1T($C70,$D70,$E70,$F70)</f>
        <v>0</v>
      </c>
      <c r="J70" s="54">
        <f t="shared" si="92"/>
        <v>0</v>
      </c>
      <c r="K70" s="54"/>
      <c r="L70" s="19">
        <f t="shared" si="72"/>
        <v>0</v>
      </c>
      <c r="M70" s="54">
        <f t="shared" ref="M70" si="95">CalcIva($G70,$H70,$L70)</f>
        <v>0</v>
      </c>
      <c r="N70" s="54"/>
      <c r="O70" s="19">
        <f t="shared" si="75"/>
        <v>0</v>
      </c>
      <c r="P70" s="54">
        <f t="shared" ref="P70" si="96">CalcIva($G70,$H70,$O70)</f>
        <v>0</v>
      </c>
      <c r="Q70" s="54"/>
      <c r="R70" s="19">
        <f t="shared" si="78"/>
        <v>0</v>
      </c>
      <c r="S70" s="54">
        <f t="shared" ref="S70" si="97">CalcIva($G70,$H70,$R70)</f>
        <v>0</v>
      </c>
      <c r="T70" s="54"/>
      <c r="U70" s="45">
        <f t="shared" si="81"/>
        <v>0</v>
      </c>
      <c r="W70" s="8"/>
      <c r="X70" s="8"/>
    </row>
    <row r="71" spans="2:24" s="8" customFormat="1" ht="24" customHeight="1">
      <c r="B71" s="43" t="s">
        <v>29</v>
      </c>
      <c r="C71" s="41">
        <f>SUM(C54,C63,C60)</f>
        <v>0</v>
      </c>
      <c r="D71" s="41"/>
      <c r="E71" s="41">
        <f>SUM(E54,E63,E60)</f>
        <v>0</v>
      </c>
      <c r="F71" s="41"/>
      <c r="G71" s="41"/>
      <c r="H71" s="41"/>
      <c r="I71" s="41">
        <f>SUM(I54,I60,I63,I68)</f>
        <v>0</v>
      </c>
      <c r="J71" s="41">
        <f t="shared" ref="J71:T71" si="98">SUM(J54,J60,J63,J68)</f>
        <v>0</v>
      </c>
      <c r="K71" s="41">
        <f t="shared" si="98"/>
        <v>0</v>
      </c>
      <c r="L71" s="41">
        <f t="shared" si="98"/>
        <v>0</v>
      </c>
      <c r="M71" s="41">
        <f t="shared" si="98"/>
        <v>0</v>
      </c>
      <c r="N71" s="41">
        <f t="shared" si="98"/>
        <v>0</v>
      </c>
      <c r="O71" s="41">
        <f t="shared" si="98"/>
        <v>0</v>
      </c>
      <c r="P71" s="41">
        <f t="shared" si="98"/>
        <v>0</v>
      </c>
      <c r="Q71" s="41">
        <f t="shared" si="98"/>
        <v>0</v>
      </c>
      <c r="R71" s="41">
        <f t="shared" si="98"/>
        <v>0</v>
      </c>
      <c r="S71" s="41">
        <f t="shared" si="98"/>
        <v>0</v>
      </c>
      <c r="T71" s="41">
        <f t="shared" si="98"/>
        <v>0</v>
      </c>
      <c r="U71" s="48">
        <f>SUM(U54,U63,U60)</f>
        <v>0</v>
      </c>
    </row>
    <row r="72" spans="2:24" s="8" customFormat="1" ht="12" customHeight="1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10"/>
      <c r="W72" s="4"/>
      <c r="X72" s="4"/>
    </row>
    <row r="73" spans="2:24" ht="26.25" customHeight="1">
      <c r="B73" s="152" t="s">
        <v>69</v>
      </c>
      <c r="C73" s="152"/>
      <c r="D73" s="152"/>
      <c r="E73" s="152"/>
      <c r="F73" s="153"/>
      <c r="G73" s="153"/>
      <c r="H73" s="153"/>
      <c r="I73" s="77">
        <f>I71-I48</f>
        <v>0</v>
      </c>
      <c r="J73" s="77"/>
      <c r="K73" s="77"/>
      <c r="L73" s="77">
        <f>L71-L48</f>
        <v>0</v>
      </c>
      <c r="M73" s="77"/>
      <c r="N73" s="77"/>
      <c r="O73" s="77">
        <f>O71-O48</f>
        <v>0</v>
      </c>
      <c r="P73" s="77"/>
      <c r="Q73" s="77"/>
      <c r="R73" s="77">
        <f>R71-R48</f>
        <v>0</v>
      </c>
      <c r="S73" s="9"/>
      <c r="T73" s="9"/>
      <c r="U73" s="10"/>
    </row>
    <row r="74" spans="2:24" ht="13.5" customHeight="1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W74" s="8"/>
      <c r="X74" s="8"/>
    </row>
    <row r="75" spans="2:24" s="8" customFormat="1" ht="21.75" customHeight="1">
      <c r="B75" s="157" t="s">
        <v>78</v>
      </c>
      <c r="C75" s="157"/>
      <c r="D75" s="157"/>
      <c r="E75" s="157"/>
      <c r="F75" s="158" t="s">
        <v>67</v>
      </c>
      <c r="G75" s="158"/>
      <c r="H75" s="158"/>
      <c r="I75" s="15" t="s">
        <v>63</v>
      </c>
      <c r="J75" s="150" t="s">
        <v>64</v>
      </c>
      <c r="K75" s="150"/>
      <c r="L75" s="150"/>
      <c r="M75" s="150" t="s">
        <v>65</v>
      </c>
      <c r="N75" s="150"/>
      <c r="O75" s="150"/>
      <c r="P75" s="150" t="s">
        <v>66</v>
      </c>
      <c r="Q75" s="150"/>
      <c r="R75" s="150"/>
      <c r="S75" s="9"/>
      <c r="T75" s="9"/>
      <c r="U75" s="14" t="s">
        <v>81</v>
      </c>
      <c r="W75" s="4"/>
      <c r="X75" s="4"/>
    </row>
    <row r="76" spans="2:24" ht="15" customHeight="1">
      <c r="B76" s="11"/>
      <c r="C76" s="151" t="s">
        <v>7</v>
      </c>
      <c r="D76" s="151"/>
      <c r="E76" s="151"/>
      <c r="F76" s="78"/>
      <c r="G76" s="79"/>
      <c r="H76" s="79"/>
      <c r="I76" s="91">
        <f>J71-J48</f>
        <v>0</v>
      </c>
      <c r="J76" s="92"/>
      <c r="K76" s="92"/>
      <c r="L76" s="91">
        <f>IF(I$76 &lt; 0,(M$71-M$48)+I$76,(M$71-M$48))</f>
        <v>0</v>
      </c>
      <c r="M76" s="92"/>
      <c r="N76" s="92"/>
      <c r="O76" s="91">
        <f>IF(L$76 &lt; 0,(P$71-P$48)+L$76,(P$71-P$48))</f>
        <v>0</v>
      </c>
      <c r="P76" s="92"/>
      <c r="Q76" s="92"/>
      <c r="R76" s="91">
        <f>IF(O$76&lt;0,(S$71-S$48)+O$76,(S$71-S$48))</f>
        <v>0</v>
      </c>
      <c r="S76" s="93"/>
      <c r="T76" s="93"/>
      <c r="U76" s="94">
        <f>IF(R$76 &lt; 0,R$76,0)</f>
        <v>0</v>
      </c>
    </row>
    <row r="77" spans="2:24" ht="15" customHeight="1">
      <c r="B77" s="11"/>
      <c r="C77" s="155" t="s">
        <v>79</v>
      </c>
      <c r="D77" s="155"/>
      <c r="E77" s="155"/>
      <c r="F77" s="81"/>
      <c r="G77" s="82"/>
      <c r="H77" s="82"/>
      <c r="I77" s="82">
        <f>K48</f>
        <v>0</v>
      </c>
      <c r="J77" s="80"/>
      <c r="K77" s="80"/>
      <c r="L77" s="82">
        <f>N48</f>
        <v>0</v>
      </c>
      <c r="M77" s="80"/>
      <c r="N77" s="80"/>
      <c r="O77" s="82">
        <f>Q48</f>
        <v>0</v>
      </c>
      <c r="P77" s="80"/>
      <c r="Q77" s="80"/>
      <c r="R77" s="82">
        <f>T48</f>
        <v>0</v>
      </c>
      <c r="S77" s="83"/>
      <c r="T77" s="83"/>
      <c r="U77" s="18">
        <f>I77+L77+O77+R77</f>
        <v>0</v>
      </c>
    </row>
    <row r="78" spans="2:24" ht="15" customHeight="1">
      <c r="B78" s="11"/>
      <c r="C78" s="155" t="s">
        <v>80</v>
      </c>
      <c r="D78" s="155"/>
      <c r="E78" s="155"/>
      <c r="F78" s="84"/>
      <c r="G78" s="85"/>
      <c r="H78" s="85"/>
      <c r="I78" s="85">
        <f>K71</f>
        <v>0</v>
      </c>
      <c r="J78" s="80"/>
      <c r="K78" s="80"/>
      <c r="L78" s="82">
        <f>N71</f>
        <v>0</v>
      </c>
      <c r="M78" s="80"/>
      <c r="N78" s="80"/>
      <c r="O78" s="82">
        <f>Q71</f>
        <v>0</v>
      </c>
      <c r="P78" s="80"/>
      <c r="Q78" s="80"/>
      <c r="R78" s="82">
        <f>T71</f>
        <v>0</v>
      </c>
      <c r="S78" s="83"/>
      <c r="T78" s="83"/>
      <c r="U78" s="18">
        <f>I78+L78+O78+R78</f>
        <v>0</v>
      </c>
    </row>
    <row r="79" spans="2:24" ht="15" customHeight="1">
      <c r="B79" s="11"/>
      <c r="C79" s="155" t="s">
        <v>62</v>
      </c>
      <c r="D79" s="155"/>
      <c r="E79" s="155"/>
      <c r="F79" s="156">
        <f>E11</f>
        <v>0</v>
      </c>
      <c r="G79" s="156"/>
      <c r="H79" s="86"/>
      <c r="I79" s="87">
        <f>I11</f>
        <v>0</v>
      </c>
      <c r="J79" s="80"/>
      <c r="K79" s="80"/>
      <c r="L79" s="82">
        <f>L11</f>
        <v>0</v>
      </c>
      <c r="M79" s="80">
        <f>O11</f>
        <v>0</v>
      </c>
      <c r="N79" s="80"/>
      <c r="O79" s="82">
        <f>O11</f>
        <v>0</v>
      </c>
      <c r="P79" s="80"/>
      <c r="Q79" s="80"/>
      <c r="R79" s="82">
        <f>R11</f>
        <v>0</v>
      </c>
      <c r="S79" s="83"/>
      <c r="T79" s="83"/>
      <c r="U79" s="18"/>
    </row>
    <row r="80" spans="2:24">
      <c r="L80" s="53"/>
      <c r="M80" s="53"/>
      <c r="N80" s="53"/>
    </row>
    <row r="81" spans="21:21" ht="23.25">
      <c r="U81" s="8"/>
    </row>
  </sheetData>
  <mergeCells count="37">
    <mergeCell ref="F79:G79"/>
    <mergeCell ref="C2:U2"/>
    <mergeCell ref="B4:U4"/>
    <mergeCell ref="B5:B7"/>
    <mergeCell ref="C5:F5"/>
    <mergeCell ref="I5:R6"/>
    <mergeCell ref="U5:U7"/>
    <mergeCell ref="C6:C7"/>
    <mergeCell ref="D6:D7"/>
    <mergeCell ref="E6:E7"/>
    <mergeCell ref="F6:F7"/>
    <mergeCell ref="C76:E76"/>
    <mergeCell ref="C77:E77"/>
    <mergeCell ref="C79:E79"/>
    <mergeCell ref="C52:C53"/>
    <mergeCell ref="P75:R75"/>
    <mergeCell ref="M75:O75"/>
    <mergeCell ref="J75:L75"/>
    <mergeCell ref="E52:E53"/>
    <mergeCell ref="C78:E78"/>
    <mergeCell ref="B73:E73"/>
    <mergeCell ref="F73:H73"/>
    <mergeCell ref="B75:E75"/>
    <mergeCell ref="F75:H75"/>
    <mergeCell ref="B51:B53"/>
    <mergeCell ref="C51:F51"/>
    <mergeCell ref="G51:G53"/>
    <mergeCell ref="D52:D53"/>
    <mergeCell ref="H51:H53"/>
    <mergeCell ref="W2:X2"/>
    <mergeCell ref="G5:G6"/>
    <mergeCell ref="H5:H6"/>
    <mergeCell ref="W4:X7"/>
    <mergeCell ref="F52:F53"/>
    <mergeCell ref="B50:U50"/>
    <mergeCell ref="I51:R52"/>
    <mergeCell ref="U51:U53"/>
  </mergeCells>
  <conditionalFormatting sqref="I9 I27:I42 L27:L42 O27:O42 R27:R42 U27:U42">
    <cfRule type="cellIs" dxfId="97" priority="137" operator="equal">
      <formula>0</formula>
    </cfRule>
  </conditionalFormatting>
  <conditionalFormatting sqref="L9:L11 O9:O11 R9:R11 R13 O13 L13">
    <cfRule type="cellIs" dxfId="96" priority="136" operator="equal">
      <formula>0</formula>
    </cfRule>
  </conditionalFormatting>
  <conditionalFormatting sqref="I10:I11 I13">
    <cfRule type="cellIs" dxfId="95" priority="135" operator="equal">
      <formula>0</formula>
    </cfRule>
  </conditionalFormatting>
  <conditionalFormatting sqref="I15 L15 O15 R15">
    <cfRule type="cellIs" dxfId="94" priority="134" operator="equal">
      <formula>0</formula>
    </cfRule>
  </conditionalFormatting>
  <conditionalFormatting sqref="I17:I18 L17:L18 O17:O18 R17:R18">
    <cfRule type="cellIs" dxfId="93" priority="133" operator="equal">
      <formula>0</formula>
    </cfRule>
  </conditionalFormatting>
  <conditionalFormatting sqref="I20:I25 L20:L25 O20:O25 R20:R25">
    <cfRule type="cellIs" dxfId="92" priority="132" operator="equal">
      <formula>0</formula>
    </cfRule>
  </conditionalFormatting>
  <conditionalFormatting sqref="L44:L47 O44:O47 R44:R47">
    <cfRule type="cellIs" dxfId="91" priority="130" operator="equal">
      <formula>0</formula>
    </cfRule>
  </conditionalFormatting>
  <conditionalFormatting sqref="I55:I62 R55:R62 O55:O62 L55:L62">
    <cfRule type="cellIs" dxfId="90" priority="129" operator="equal">
      <formula>0</formula>
    </cfRule>
  </conditionalFormatting>
  <conditionalFormatting sqref="I64:I67 R64:R67 O64:O67 L64:L67">
    <cfRule type="cellIs" dxfId="89" priority="128" operator="equal">
      <formula>0</formula>
    </cfRule>
  </conditionalFormatting>
  <conditionalFormatting sqref="I61:I62 R61:R62 O61:O62 L61:L62">
    <cfRule type="cellIs" dxfId="88" priority="127" operator="equal">
      <formula>0</formula>
    </cfRule>
  </conditionalFormatting>
  <conditionalFormatting sqref="U9">
    <cfRule type="cellIs" dxfId="87" priority="126" operator="equal">
      <formula>0</formula>
    </cfRule>
  </conditionalFormatting>
  <conditionalFormatting sqref="U10:U11 U13">
    <cfRule type="cellIs" dxfId="86" priority="125" operator="equal">
      <formula>0</formula>
    </cfRule>
  </conditionalFormatting>
  <conditionalFormatting sqref="U15">
    <cfRule type="cellIs" dxfId="85" priority="124" operator="equal">
      <formula>0</formula>
    </cfRule>
  </conditionalFormatting>
  <conditionalFormatting sqref="U17:U18">
    <cfRule type="cellIs" dxfId="84" priority="123" operator="equal">
      <formula>0</formula>
    </cfRule>
  </conditionalFormatting>
  <conditionalFormatting sqref="U20:U25">
    <cfRule type="cellIs" dxfId="83" priority="122" operator="equal">
      <formula>0</formula>
    </cfRule>
  </conditionalFormatting>
  <conditionalFormatting sqref="U44">
    <cfRule type="cellIs" dxfId="82" priority="120" operator="equal">
      <formula>0</formula>
    </cfRule>
  </conditionalFormatting>
  <conditionalFormatting sqref="U55:U62">
    <cfRule type="cellIs" dxfId="81" priority="119" operator="equal">
      <formula>0</formula>
    </cfRule>
  </conditionalFormatting>
  <conditionalFormatting sqref="U64:U67">
    <cfRule type="cellIs" dxfId="80" priority="118" operator="equal">
      <formula>0</formula>
    </cfRule>
  </conditionalFormatting>
  <conditionalFormatting sqref="U61:U62">
    <cfRule type="cellIs" dxfId="79" priority="117" operator="equal">
      <formula>0</formula>
    </cfRule>
  </conditionalFormatting>
  <conditionalFormatting sqref="I8">
    <cfRule type="cellIs" dxfId="78" priority="116" operator="equal">
      <formula>0</formula>
    </cfRule>
  </conditionalFormatting>
  <conditionalFormatting sqref="L8 O8 R8 U8">
    <cfRule type="cellIs" dxfId="77" priority="115" operator="equal">
      <formula>0</formula>
    </cfRule>
  </conditionalFormatting>
  <conditionalFormatting sqref="C14:U14">
    <cfRule type="cellIs" dxfId="76" priority="114" operator="equal">
      <formula>0</formula>
    </cfRule>
  </conditionalFormatting>
  <conditionalFormatting sqref="C16:U16">
    <cfRule type="cellIs" dxfId="75" priority="113" operator="equal">
      <formula>0</formula>
    </cfRule>
  </conditionalFormatting>
  <conditionalFormatting sqref="C19:R19">
    <cfRule type="cellIs" dxfId="74" priority="112" operator="equal">
      <formula>0</formula>
    </cfRule>
  </conditionalFormatting>
  <conditionalFormatting sqref="C26:U26">
    <cfRule type="cellIs" dxfId="73" priority="111" operator="equal">
      <formula>0</formula>
    </cfRule>
  </conditionalFormatting>
  <conditionalFormatting sqref="U19">
    <cfRule type="cellIs" dxfId="72" priority="110" operator="equal">
      <formula>0</formula>
    </cfRule>
  </conditionalFormatting>
  <conditionalFormatting sqref="C43:U43">
    <cfRule type="cellIs" dxfId="71" priority="109" operator="equal">
      <formula>0</formula>
    </cfRule>
  </conditionalFormatting>
  <conditionalFormatting sqref="C48:U48">
    <cfRule type="cellIs" dxfId="70" priority="108" operator="equal">
      <formula>0</formula>
    </cfRule>
  </conditionalFormatting>
  <conditionalFormatting sqref="C54:U54">
    <cfRule type="cellIs" dxfId="69" priority="107" operator="equal">
      <formula>0</formula>
    </cfRule>
  </conditionalFormatting>
  <conditionalFormatting sqref="C63:U63">
    <cfRule type="cellIs" dxfId="68" priority="106" operator="equal">
      <formula>0</formula>
    </cfRule>
  </conditionalFormatting>
  <conditionalFormatting sqref="C60:U60">
    <cfRule type="cellIs" dxfId="67" priority="105" operator="equal">
      <formula>0</formula>
    </cfRule>
  </conditionalFormatting>
  <conditionalFormatting sqref="C71:U71">
    <cfRule type="cellIs" dxfId="66" priority="104" operator="equal">
      <formula>0</formula>
    </cfRule>
  </conditionalFormatting>
  <conditionalFormatting sqref="I73">
    <cfRule type="cellIs" dxfId="65" priority="103" operator="equal">
      <formula>0</formula>
    </cfRule>
  </conditionalFormatting>
  <conditionalFormatting sqref="L73:R73">
    <cfRule type="cellIs" dxfId="64" priority="102" operator="equal">
      <formula>0</formula>
    </cfRule>
  </conditionalFormatting>
  <conditionalFormatting sqref="F79:G79 M76 J76 I79 G76:G78">
    <cfRule type="cellIs" dxfId="63" priority="100" operator="equal">
      <formula>0</formula>
    </cfRule>
    <cfRule type="cellIs" priority="101" operator="equal">
      <formula>0</formula>
    </cfRule>
  </conditionalFormatting>
  <conditionalFormatting sqref="I40:I42 L40:L42 O40:O42 R40:R42">
    <cfRule type="cellIs" dxfId="62" priority="97" operator="equal">
      <formula>0</formula>
    </cfRule>
  </conditionalFormatting>
  <conditionalFormatting sqref="U40 U42">
    <cfRule type="cellIs" dxfId="61" priority="96" operator="equal">
      <formula>0</formula>
    </cfRule>
  </conditionalFormatting>
  <conditionalFormatting sqref="C39:U39">
    <cfRule type="cellIs" dxfId="60" priority="95" operator="equal">
      <formula>0</formula>
    </cfRule>
  </conditionalFormatting>
  <conditionalFormatting sqref="U41">
    <cfRule type="cellIs" dxfId="59" priority="93" operator="equal">
      <formula>0</formula>
    </cfRule>
  </conditionalFormatting>
  <conditionalFormatting sqref="S19:T19">
    <cfRule type="cellIs" dxfId="58" priority="92" operator="equal">
      <formula>0</formula>
    </cfRule>
  </conditionalFormatting>
  <conditionalFormatting sqref="I77:I78">
    <cfRule type="cellIs" dxfId="57" priority="86" operator="equal">
      <formula>0</formula>
    </cfRule>
    <cfRule type="cellIs" priority="87" operator="equal">
      <formula>0</formula>
    </cfRule>
  </conditionalFormatting>
  <conditionalFormatting sqref="M77:N78">
    <cfRule type="cellIs" dxfId="56" priority="82" operator="equal">
      <formula>0</formula>
    </cfRule>
    <cfRule type="cellIs" priority="83" operator="equal">
      <formula>0</formula>
    </cfRule>
  </conditionalFormatting>
  <conditionalFormatting sqref="P77:Q78">
    <cfRule type="cellIs" dxfId="55" priority="80" operator="equal">
      <formula>0</formula>
    </cfRule>
    <cfRule type="cellIs" priority="81" operator="equal">
      <formula>0</formula>
    </cfRule>
  </conditionalFormatting>
  <conditionalFormatting sqref="J77:K78">
    <cfRule type="cellIs" dxfId="54" priority="78" operator="equal">
      <formula>0</formula>
    </cfRule>
    <cfRule type="cellIs" priority="79" operator="equal">
      <formula>0</formula>
    </cfRule>
  </conditionalFormatting>
  <conditionalFormatting sqref="J79:K79">
    <cfRule type="cellIs" dxfId="53" priority="76" operator="equal">
      <formula>0</formula>
    </cfRule>
    <cfRule type="cellIs" priority="77" operator="equal">
      <formula>0</formula>
    </cfRule>
  </conditionalFormatting>
  <conditionalFormatting sqref="M79:N79">
    <cfRule type="cellIs" dxfId="52" priority="74" operator="equal">
      <formula>0</formula>
    </cfRule>
    <cfRule type="cellIs" priority="75" operator="equal">
      <formula>0</formula>
    </cfRule>
  </conditionalFormatting>
  <conditionalFormatting sqref="L80:N80">
    <cfRule type="cellIs" dxfId="51" priority="72" operator="equal">
      <formula>0</formula>
    </cfRule>
    <cfRule type="cellIs" priority="73" operator="equal">
      <formula>0</formula>
    </cfRule>
  </conditionalFormatting>
  <conditionalFormatting sqref="P79:Q79">
    <cfRule type="cellIs" dxfId="50" priority="70" operator="equal">
      <formula>0</formula>
    </cfRule>
    <cfRule type="cellIs" priority="71" operator="equal">
      <formula>0</formula>
    </cfRule>
  </conditionalFormatting>
  <conditionalFormatting sqref="L77:L78">
    <cfRule type="cellIs" dxfId="49" priority="68" operator="equal">
      <formula>0</formula>
    </cfRule>
    <cfRule type="cellIs" priority="69" operator="equal">
      <formula>0</formula>
    </cfRule>
  </conditionalFormatting>
  <conditionalFormatting sqref="L79">
    <cfRule type="cellIs" dxfId="48" priority="66" operator="equal">
      <formula>0</formula>
    </cfRule>
    <cfRule type="cellIs" priority="67" operator="equal">
      <formula>0</formula>
    </cfRule>
  </conditionalFormatting>
  <conditionalFormatting sqref="O77:O79">
    <cfRule type="cellIs" dxfId="47" priority="64" operator="equal">
      <formula>0</formula>
    </cfRule>
    <cfRule type="cellIs" priority="65" operator="equal">
      <formula>0</formula>
    </cfRule>
  </conditionalFormatting>
  <conditionalFormatting sqref="R77:R79">
    <cfRule type="cellIs" dxfId="46" priority="62" operator="equal">
      <formula>0</formula>
    </cfRule>
    <cfRule type="cellIs" priority="63" operator="equal">
      <formula>0</formula>
    </cfRule>
  </conditionalFormatting>
  <conditionalFormatting sqref="I76">
    <cfRule type="cellIs" dxfId="45" priority="22" operator="lessThan">
      <formula>0</formula>
    </cfRule>
    <cfRule type="cellIs" dxfId="44" priority="54" operator="equal">
      <formula>0</formula>
    </cfRule>
    <cfRule type="cellIs" priority="55" operator="equal">
      <formula>0</formula>
    </cfRule>
  </conditionalFormatting>
  <conditionalFormatting sqref="H55">
    <cfRule type="cellIs" dxfId="43" priority="51" operator="equal">
      <formula>0</formula>
    </cfRule>
  </conditionalFormatting>
  <conditionalFormatting sqref="H56">
    <cfRule type="cellIs" dxfId="42" priority="50" operator="equal">
      <formula>0</formula>
    </cfRule>
  </conditionalFormatting>
  <conditionalFormatting sqref="H57">
    <cfRule type="cellIs" dxfId="41" priority="49" operator="equal">
      <formula>0</formula>
    </cfRule>
  </conditionalFormatting>
  <conditionalFormatting sqref="H58">
    <cfRule type="cellIs" dxfId="40" priority="48" operator="equal">
      <formula>0</formula>
    </cfRule>
  </conditionalFormatting>
  <conditionalFormatting sqref="H59:H62">
    <cfRule type="cellIs" dxfId="39" priority="47" operator="equal">
      <formula>0</formula>
    </cfRule>
  </conditionalFormatting>
  <conditionalFormatting sqref="I70">
    <cfRule type="cellIs" dxfId="38" priority="46" operator="equal">
      <formula>0</formula>
    </cfRule>
  </conditionalFormatting>
  <conditionalFormatting sqref="H20:H25">
    <cfRule type="cellIs" dxfId="37" priority="42" operator="equal">
      <formula>0</formula>
    </cfRule>
  </conditionalFormatting>
  <conditionalFormatting sqref="C68:U68">
    <cfRule type="cellIs" dxfId="36" priority="44" operator="equal">
      <formula>0</formula>
    </cfRule>
  </conditionalFormatting>
  <conditionalFormatting sqref="H61:H62">
    <cfRule type="cellIs" dxfId="35" priority="43" operator="equal">
      <formula>0</formula>
    </cfRule>
  </conditionalFormatting>
  <conditionalFormatting sqref="H27:H36">
    <cfRule type="cellIs" dxfId="34" priority="41" operator="equal">
      <formula>0</formula>
    </cfRule>
  </conditionalFormatting>
  <conditionalFormatting sqref="G15:H15">
    <cfRule type="cellIs" dxfId="33" priority="40" operator="equal">
      <formula>0</formula>
    </cfRule>
  </conditionalFormatting>
  <conditionalFormatting sqref="H44">
    <cfRule type="cellIs" dxfId="32" priority="39" operator="equal">
      <formula>0</formula>
    </cfRule>
  </conditionalFormatting>
  <conditionalFormatting sqref="H45:H47 U45:U47">
    <cfRule type="cellIs" dxfId="31" priority="38" operator="equal">
      <formula>0</formula>
    </cfRule>
  </conditionalFormatting>
  <conditionalFormatting sqref="H45:H47 U45:U47">
    <cfRule type="cellIs" dxfId="30" priority="37" operator="equal">
      <formula>0</formula>
    </cfRule>
  </conditionalFormatting>
  <conditionalFormatting sqref="B70">
    <cfRule type="cellIs" dxfId="29" priority="36" operator="equal">
      <formula>0</formula>
    </cfRule>
  </conditionalFormatting>
  <conditionalFormatting sqref="L12 O12 R12">
    <cfRule type="cellIs" dxfId="28" priority="35" operator="equal">
      <formula>0</formula>
    </cfRule>
  </conditionalFormatting>
  <conditionalFormatting sqref="I12">
    <cfRule type="cellIs" dxfId="27" priority="34" operator="equal">
      <formula>0</formula>
    </cfRule>
  </conditionalFormatting>
  <conditionalFormatting sqref="U12">
    <cfRule type="cellIs" dxfId="26" priority="33" operator="equal">
      <formula>0</formula>
    </cfRule>
  </conditionalFormatting>
  <conditionalFormatting sqref="G9:H9">
    <cfRule type="cellIs" dxfId="25" priority="32" operator="equal">
      <formula>0</formula>
    </cfRule>
  </conditionalFormatting>
  <conditionalFormatting sqref="G10:H11">
    <cfRule type="cellIs" dxfId="24" priority="31" operator="equal">
      <formula>0</formula>
    </cfRule>
  </conditionalFormatting>
  <conditionalFormatting sqref="G12:H12">
    <cfRule type="cellIs" dxfId="23" priority="30" operator="equal">
      <formula>0</formula>
    </cfRule>
  </conditionalFormatting>
  <conditionalFormatting sqref="G44:G45">
    <cfRule type="cellIs" dxfId="22" priority="29" operator="equal">
      <formula>0</formula>
    </cfRule>
  </conditionalFormatting>
  <conditionalFormatting sqref="G35">
    <cfRule type="cellIs" dxfId="21" priority="28" operator="equal">
      <formula>0</formula>
    </cfRule>
  </conditionalFormatting>
  <conditionalFormatting sqref="J8:K8">
    <cfRule type="cellIs" dxfId="20" priority="27" operator="equal">
      <formula>0</formula>
    </cfRule>
  </conditionalFormatting>
  <conditionalFormatting sqref="M8:N8">
    <cfRule type="cellIs" dxfId="19" priority="26" operator="equal">
      <formula>0</formula>
    </cfRule>
  </conditionalFormatting>
  <conditionalFormatting sqref="P8:Q8">
    <cfRule type="cellIs" dxfId="18" priority="25" operator="equal">
      <formula>0</formula>
    </cfRule>
  </conditionalFormatting>
  <conditionalFormatting sqref="S8:T8">
    <cfRule type="cellIs" dxfId="17" priority="24" operator="equal">
      <formula>0</formula>
    </cfRule>
  </conditionalFormatting>
  <conditionalFormatting sqref="H70">
    <cfRule type="cellIs" dxfId="16" priority="23" operator="equal">
      <formula>0</formula>
    </cfRule>
  </conditionalFormatting>
  <conditionalFormatting sqref="I44:I47">
    <cfRule type="cellIs" dxfId="15" priority="21" operator="equal">
      <formula>0</formula>
    </cfRule>
  </conditionalFormatting>
  <conditionalFormatting sqref="I44:I47">
    <cfRule type="cellIs" dxfId="14" priority="20" operator="equal">
      <formula>0</formula>
    </cfRule>
  </conditionalFormatting>
  <conditionalFormatting sqref="I69">
    <cfRule type="cellIs" dxfId="13" priority="19" operator="equal">
      <formula>0</formula>
    </cfRule>
  </conditionalFormatting>
  <conditionalFormatting sqref="L69:L70">
    <cfRule type="cellIs" dxfId="12" priority="18" operator="equal">
      <formula>0</formula>
    </cfRule>
  </conditionalFormatting>
  <conditionalFormatting sqref="O69:O70">
    <cfRule type="cellIs" dxfId="11" priority="17" operator="equal">
      <formula>0</formula>
    </cfRule>
  </conditionalFormatting>
  <conditionalFormatting sqref="R69:R70">
    <cfRule type="cellIs" dxfId="10" priority="16" operator="equal">
      <formula>0</formula>
    </cfRule>
  </conditionalFormatting>
  <conditionalFormatting sqref="U69:U70">
    <cfRule type="cellIs" dxfId="9" priority="15" operator="equal">
      <formula>0</formula>
    </cfRule>
  </conditionalFormatting>
  <conditionalFormatting sqref="U77:U79">
    <cfRule type="cellIs" dxfId="8" priority="13" operator="equal">
      <formula>0</formula>
    </cfRule>
  </conditionalFormatting>
  <conditionalFormatting sqref="O76">
    <cfRule type="cellIs" dxfId="7" priority="10" operator="lessThan">
      <formula>0</formula>
    </cfRule>
    <cfRule type="cellIs" dxfId="6" priority="11" operator="equal">
      <formula>0</formula>
    </cfRule>
    <cfRule type="cellIs" priority="12" operator="equal">
      <formula>0</formula>
    </cfRule>
  </conditionalFormatting>
  <conditionalFormatting sqref="R76">
    <cfRule type="cellIs" dxfId="5" priority="7" operator="lessThan">
      <formula>0</formula>
    </cfRule>
    <cfRule type="cellIs" dxfId="4" priority="8" operator="equal">
      <formula>0</formula>
    </cfRule>
    <cfRule type="cellIs" priority="9" operator="equal">
      <formula>0</formula>
    </cfRule>
  </conditionalFormatting>
  <conditionalFormatting sqref="L76">
    <cfRule type="cellIs" dxfId="3" priority="4" operator="lessThan">
      <formula>0</formula>
    </cfRule>
    <cfRule type="cellIs" dxfId="2" priority="5" operator="equal">
      <formula>0</formula>
    </cfRule>
    <cfRule type="cellIs" priority="6" operator="equal">
      <formula>0</formula>
    </cfRule>
  </conditionalFormatting>
  <conditionalFormatting sqref="U76">
    <cfRule type="cellIs" dxfId="1" priority="1" operator="lessThan">
      <formula>0</formula>
    </cfRule>
    <cfRule type="cellIs" dxfId="0" priority="2" operator="equal">
      <formula>0</formula>
    </cfRule>
    <cfRule type="cellIs" priority="3" operator="equal">
      <formula>0</formula>
    </cfRule>
  </conditionalFormatting>
  <dataValidations count="2">
    <dataValidation type="list" allowBlank="1" showInputMessage="1" showErrorMessage="1" sqref="H64:H67 H69 H17:H18 H37:H42 H13" xr:uid="{CE07A235-A7D8-4BFF-BE67-C0C86F46DEF5}">
      <formula1>irpf</formula1>
    </dataValidation>
    <dataValidation type="list" allowBlank="1" showInputMessage="1" showErrorMessage="1" sqref="G13 G17:G18 G20:G25 G64:G67 G46:G47 G55:G62 G69:G70 G27:G34 G36:G42" xr:uid="{094396F8-ADBB-412C-8600-1D8D81F349B6}">
      <formula1>Iva</formula1>
    </dataValidation>
  </dataValidations>
  <pageMargins left="0.7" right="0.7" top="0.75" bottom="0.75" header="0.3" footer="0.3"/>
  <pageSetup paperSize="9" scale="60" orientation="portrait" r:id="rId1"/>
  <ignoredErrors>
    <ignoredError sqref="I14 I16 I19 I43 R63 U15 U13 L9:L10 O9:O10 L11 L14 J14:K14 O14 M14:N14 U14 R14 P14:Q14 S14:T14 U16 R16 O16 L16 J16:K16 M16:N16 P16:Q16 S16:T16 U19 R19 O19 L19 J19:K19 M19:N19 P19:Q19 S19:T19 U26 U63 I63:Q63 S63:T63 I60:U60 I39:U39 L12 O11 O12 R12 L8:S8 I26:T26 U43 L43:T43 I68:U68" formula="1"/>
    <ignoredError sqref="F79 I79 U76" unlockedFormula="1"/>
    <ignoredError sqref="S57 S54:U54 U57" evalError="1"/>
  </ignoredErrors>
  <drawing r:id="rId2"/>
  <legacyDrawing r:id="rId3"/>
  <controls>
    <mc:AlternateContent xmlns:mc="http://schemas.openxmlformats.org/markup-compatibility/2006">
      <mc:Choice Requires="x14">
        <control shapeId="4104" r:id="rId4" name="Label2">
          <controlPr defaultSize="0" autoLine="0" r:id="rId5">
            <anchor moveWithCells="1">
              <from>
                <xdr:col>23</xdr:col>
                <xdr:colOff>542925</xdr:colOff>
                <xdr:row>1</xdr:row>
                <xdr:rowOff>333375</xdr:rowOff>
              </from>
              <to>
                <xdr:col>23</xdr:col>
                <xdr:colOff>1276350</xdr:colOff>
                <xdr:row>1</xdr:row>
                <xdr:rowOff>552450</xdr:rowOff>
              </to>
            </anchor>
          </controlPr>
        </control>
      </mc:Choice>
      <mc:Fallback>
        <control shapeId="4104" r:id="rId4" name="Label2"/>
      </mc:Fallback>
    </mc:AlternateContent>
    <mc:AlternateContent xmlns:mc="http://schemas.openxmlformats.org/markup-compatibility/2006">
      <mc:Choice Requires="x14">
        <control shapeId="4103" r:id="rId6" name="Label1">
          <controlPr defaultSize="0" autoLine="0" r:id="rId7">
            <anchor moveWithCells="1">
              <from>
                <xdr:col>1</xdr:col>
                <xdr:colOff>400050</xdr:colOff>
                <xdr:row>76</xdr:row>
                <xdr:rowOff>114300</xdr:rowOff>
              </from>
              <to>
                <xdr:col>1</xdr:col>
                <xdr:colOff>1562100</xdr:colOff>
                <xdr:row>77</xdr:row>
                <xdr:rowOff>142875</xdr:rowOff>
              </to>
            </anchor>
          </controlPr>
        </control>
      </mc:Choice>
      <mc:Fallback>
        <control shapeId="4103" r:id="rId6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B9455F-F7FD-4235-8937-F20D7632F352}">
          <x14:formula1>
            <xm:f>Taules!$D$4:$D$7</xm:f>
          </x14:formula1>
          <xm:sqref>D13 D15 D17:D18 D20:D25 D64:D67 D44:D47 D55:D62 D70 D27:D42</xm:sqref>
        </x14:dataValidation>
        <x14:dataValidation type="list" allowBlank="1" showInputMessage="1" showErrorMessage="1" xr:uid="{CA2978A4-CBFE-480C-ADEE-44D1C0F71BD8}">
          <x14:formula1>
            <xm:f>Taules!$E$4:$E$11</xm:f>
          </x14:formula1>
          <xm:sqref>F15 F17:F18 F20:F25 F13 F64:F67 F44:F47 F55:F62 F69:F70 F27:F42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A79B4-91F6-4FD7-8C8B-68C9CCAD62DE}">
  <sheetPr codeName="Hoja3"/>
  <dimension ref="B3:E11"/>
  <sheetViews>
    <sheetView workbookViewId="0">
      <selection activeCell="G4" sqref="G4:G11"/>
    </sheetView>
  </sheetViews>
  <sheetFormatPr baseColWidth="10" defaultRowHeight="15"/>
  <cols>
    <col min="2" max="2" width="8.7109375" style="2" bestFit="1" customWidth="1"/>
    <col min="3" max="3" width="9.42578125" style="2" bestFit="1" customWidth="1"/>
    <col min="4" max="4" width="12.42578125" style="2" bestFit="1" customWidth="1"/>
    <col min="5" max="5" width="12.5703125" style="2" bestFit="1" customWidth="1"/>
    <col min="6" max="6" width="2.7109375" customWidth="1"/>
    <col min="7" max="7" width="28.85546875" customWidth="1"/>
  </cols>
  <sheetData>
    <row r="3" spans="2:5">
      <c r="B3" s="3" t="s">
        <v>7</v>
      </c>
      <c r="C3" s="3" t="s">
        <v>8</v>
      </c>
      <c r="D3" s="3" t="s">
        <v>35</v>
      </c>
      <c r="E3" s="3" t="s">
        <v>42</v>
      </c>
    </row>
    <row r="4" spans="2:5">
      <c r="B4" s="2">
        <v>21</v>
      </c>
      <c r="C4" s="1">
        <v>19</v>
      </c>
      <c r="D4" s="2" t="s">
        <v>37</v>
      </c>
      <c r="E4" s="1" t="s">
        <v>43</v>
      </c>
    </row>
    <row r="5" spans="2:5">
      <c r="B5" s="2">
        <v>10</v>
      </c>
      <c r="C5" s="1">
        <v>15</v>
      </c>
      <c r="D5" s="2" t="s">
        <v>38</v>
      </c>
      <c r="E5" s="1" t="s">
        <v>41</v>
      </c>
    </row>
    <row r="6" spans="2:5">
      <c r="B6" s="2">
        <v>4</v>
      </c>
      <c r="C6" s="1">
        <v>7</v>
      </c>
      <c r="D6" s="2" t="s">
        <v>39</v>
      </c>
      <c r="E6" s="1" t="s">
        <v>48</v>
      </c>
    </row>
    <row r="7" spans="2:5">
      <c r="B7" s="2">
        <v>0</v>
      </c>
      <c r="C7" s="1">
        <v>2</v>
      </c>
      <c r="D7" s="2" t="s">
        <v>40</v>
      </c>
      <c r="E7" s="1" t="s">
        <v>49</v>
      </c>
    </row>
    <row r="8" spans="2:5">
      <c r="C8" s="1">
        <v>1</v>
      </c>
      <c r="E8" s="1" t="s">
        <v>50</v>
      </c>
    </row>
    <row r="9" spans="2:5">
      <c r="C9" s="1">
        <v>0</v>
      </c>
      <c r="E9" s="1" t="s">
        <v>51</v>
      </c>
    </row>
    <row r="10" spans="2:5">
      <c r="C10" s="1"/>
      <c r="E10" s="1" t="s">
        <v>52</v>
      </c>
    </row>
    <row r="11" spans="2:5">
      <c r="C11" s="1"/>
      <c r="E11" s="1" t="s">
        <v>53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PLA VIABILITAT</vt:lpstr>
      <vt:lpstr>PLA VIABILITAT-ORIG</vt:lpstr>
      <vt:lpstr>Taules</vt:lpstr>
      <vt:lpstr>'PLA VIABILITAT'!irpf</vt:lpstr>
      <vt:lpstr>'PLA VIABILITAT-ORIG'!irpf</vt:lpstr>
      <vt:lpstr>'PLA VIABILITAT'!Iva</vt:lpstr>
      <vt:lpstr>'PLA VIABILITAT-ORIG'!Iva</vt:lpstr>
      <vt:lpstr>'PLA VIABILITAT'!Periòde</vt:lpstr>
      <vt:lpstr>'PLA VIABILITAT-ORIG'!Periòde</vt:lpstr>
      <vt:lpstr>Periòde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Oliveira</dc:creator>
  <cp:lastModifiedBy>Gerard Oliveira</cp:lastModifiedBy>
  <dcterms:created xsi:type="dcterms:W3CDTF">2015-06-05T18:19:34Z</dcterms:created>
  <dcterms:modified xsi:type="dcterms:W3CDTF">2021-05-05T11:36:24Z</dcterms:modified>
</cp:coreProperties>
</file>